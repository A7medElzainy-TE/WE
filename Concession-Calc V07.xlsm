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UT298524\Desktop\"/>
    </mc:Choice>
  </mc:AlternateContent>
  <xr:revisionPtr revIDLastSave="0" documentId="13_ncr:1_{57D838D2-97BA-452E-940E-2D3858F61E78}" xr6:coauthVersionLast="36" xr6:coauthVersionMax="47" xr10:uidLastSave="{00000000-0000-0000-0000-000000000000}"/>
  <bookViews>
    <workbookView showSheetTabs="0" xWindow="-105" yWindow="-105" windowWidth="23250" windowHeight="12570" xr2:uid="{0C2CAD56-3AE5-4054-AEA8-3AC4FE39920F}"/>
  </bookViews>
  <sheets>
    <sheet name="Home" sheetId="1" r:id="rId1"/>
    <sheet name="Data" sheetId="2" state="veryHidden" r:id="rId2"/>
  </sheets>
  <definedNames>
    <definedName name="_xlnm._FilterDatabase" localSheetId="1" hidden="1">Data!$A$1:$G$34</definedName>
    <definedName name="Logics">Data!$Q$1:$T$29</definedName>
    <definedName name="Method">Data!#REF!</definedName>
    <definedName name="Month_Plan">Data!$A$2:$A$45</definedName>
    <definedName name="Outage">Data!$Z$4:$Z$8</definedName>
    <definedName name="Solving">Data!$Z$2:$Z$3</definedName>
    <definedName name="Year_Plan">Data!$I$2:$I$13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2" i="2" l="1"/>
  <c r="T23" i="2"/>
  <c r="T24" i="2"/>
  <c r="T26" i="2"/>
  <c r="T27" i="2"/>
  <c r="T28" i="2"/>
  <c r="T20" i="2"/>
  <c r="T19" i="2"/>
  <c r="T16" i="2"/>
  <c r="T15" i="2"/>
  <c r="T11" i="2"/>
  <c r="T10" i="2"/>
  <c r="T7" i="2"/>
  <c r="T6" i="2"/>
  <c r="T18" i="2"/>
  <c r="T14" i="2"/>
  <c r="T9" i="2"/>
  <c r="T5" i="2"/>
  <c r="W2" i="2" l="1"/>
  <c r="E25" i="1"/>
  <c r="E24" i="1"/>
  <c r="P10" i="1"/>
  <c r="P7" i="1"/>
  <c r="P17" i="1" l="1"/>
  <c r="W7" i="2"/>
  <c r="W11" i="2"/>
  <c r="W15" i="2"/>
  <c r="W4" i="2"/>
  <c r="P21" i="1" l="1"/>
  <c r="T29" i="2" s="1"/>
  <c r="R29" i="2" s="1"/>
  <c r="Q29" i="2" s="1"/>
  <c r="M24" i="1"/>
  <c r="M21" i="1"/>
  <c r="W12" i="2"/>
  <c r="W3" i="2"/>
  <c r="W5" i="2"/>
  <c r="W6" i="2" s="1"/>
  <c r="T25" i="2" l="1"/>
  <c r="R25" i="2" s="1"/>
  <c r="Q25" i="2" s="1"/>
  <c r="T17" i="2"/>
  <c r="T8" i="2"/>
  <c r="T2" i="2"/>
  <c r="R2" i="2" s="1"/>
  <c r="Q2" i="2" s="1"/>
  <c r="R6" i="2"/>
  <c r="Q6" i="2" s="1"/>
  <c r="T4" i="2"/>
  <c r="T13" i="2"/>
  <c r="T21" i="2"/>
  <c r="R21" i="2" s="1"/>
  <c r="Q21" i="2" s="1"/>
  <c r="R10" i="2"/>
  <c r="Q10" i="2" s="1"/>
  <c r="T12" i="2"/>
  <c r="R12" i="2" s="1"/>
  <c r="Q12" i="2" s="1"/>
  <c r="R5" i="2"/>
  <c r="Q5" i="2" s="1"/>
  <c r="R7" i="2"/>
  <c r="Q7" i="2" s="1"/>
  <c r="R9" i="2"/>
  <c r="Q9" i="2" s="1"/>
  <c r="R11" i="2"/>
  <c r="Q11" i="2" s="1"/>
  <c r="R23" i="2"/>
  <c r="Q23" i="2" s="1"/>
  <c r="R24" i="2"/>
  <c r="Q24" i="2" s="1"/>
  <c r="R22" i="2"/>
  <c r="Q22" i="2" s="1"/>
  <c r="R28" i="2"/>
  <c r="Q28" i="2" s="1"/>
  <c r="R27" i="2"/>
  <c r="Q27" i="2" s="1"/>
  <c r="R26" i="2"/>
  <c r="Q26" i="2" s="1"/>
  <c r="T3" i="2"/>
  <c r="R3" i="2" s="1"/>
  <c r="R4" i="2"/>
  <c r="R13" i="2"/>
  <c r="Q13" i="2" s="1"/>
  <c r="R15" i="2"/>
  <c r="Q15" i="2" s="1"/>
  <c r="R14" i="2"/>
  <c r="Q14" i="2" s="1"/>
  <c r="R16" i="2"/>
  <c r="Q16" i="2" s="1"/>
  <c r="R17" i="2"/>
  <c r="Q17" i="2" s="1"/>
  <c r="R8" i="2"/>
  <c r="R20" i="2"/>
  <c r="Q20" i="2" s="1"/>
  <c r="R18" i="2"/>
  <c r="Q18" i="2" s="1"/>
  <c r="R19" i="2"/>
  <c r="Q19" i="2" s="1"/>
  <c r="Q8" i="2" l="1"/>
  <c r="Q4" i="2"/>
  <c r="Q3" i="2"/>
  <c r="H13" i="1" l="1"/>
  <c r="H21" i="1" s="1"/>
</calcChain>
</file>

<file path=xl/sharedStrings.xml><?xml version="1.0" encoding="utf-8"?>
<sst xmlns="http://schemas.openxmlformats.org/spreadsheetml/2006/main" count="182" uniqueCount="158">
  <si>
    <t>From</t>
  </si>
  <si>
    <t>Month</t>
  </si>
  <si>
    <t>Day</t>
  </si>
  <si>
    <t>Year</t>
  </si>
  <si>
    <t>To</t>
  </si>
  <si>
    <t>Hour</t>
  </si>
  <si>
    <t>Minutes</t>
  </si>
  <si>
    <t>Calculated Date &amp; Time</t>
  </si>
  <si>
    <t>Choose Customer Plan</t>
  </si>
  <si>
    <t>Main plan</t>
  </si>
  <si>
    <t>PricewithoutVAT</t>
  </si>
  <si>
    <t>PricewithVAT</t>
  </si>
  <si>
    <t>Gigabytes</t>
  </si>
  <si>
    <t>Super 1 speed (30 GB)</t>
  </si>
  <si>
    <t>Super 1 speed (100 GB)</t>
  </si>
  <si>
    <t>Super 1 speed (140 GB)</t>
  </si>
  <si>
    <t>Super 1 speed (200 GB)</t>
  </si>
  <si>
    <t>Super 1 speed (250 GB)</t>
  </si>
  <si>
    <t>Super 1 speed (600 GB)</t>
  </si>
  <si>
    <t>Super 2 speed (140 GB)</t>
  </si>
  <si>
    <t>Super 2 speed (200 GB)</t>
  </si>
  <si>
    <t>Super 2 speed (250 GB)</t>
  </si>
  <si>
    <t>Super 2 speed (600 GB)</t>
  </si>
  <si>
    <t>Super 3 speed (140 GB)</t>
  </si>
  <si>
    <t>Super 3 speed (200 GB)</t>
  </si>
  <si>
    <t>Super 3 speed (250 GB)</t>
  </si>
  <si>
    <t>Super 3 speed (600 GB)</t>
  </si>
  <si>
    <t>Mega 1 speed (140 GB)</t>
  </si>
  <si>
    <t>Mega 1 Speed (250 GB)</t>
  </si>
  <si>
    <t>Mega 2 speed (140 GB)</t>
  </si>
  <si>
    <t>Mega 2 Speed (250 GB)</t>
  </si>
  <si>
    <t>Ultra 1 speed (140 GB)</t>
  </si>
  <si>
    <t>Ultra 1 Speed (250 GB)</t>
  </si>
  <si>
    <t>Ultra 1 Speed (600 GB)</t>
  </si>
  <si>
    <t>Ultra 2 speed (140 GB)</t>
  </si>
  <si>
    <t>Ultra 2 Speed (250 GB)</t>
  </si>
  <si>
    <t>Ultra 2 Speed (600 GB)</t>
  </si>
  <si>
    <t>Super 1 speed (20 GB)</t>
  </si>
  <si>
    <t>Super 1 speed (400 GB)</t>
  </si>
  <si>
    <t>WE MAX SV</t>
  </si>
  <si>
    <t>Mega 1 Speed (600 GB)</t>
  </si>
  <si>
    <t>Price Without VAT ( EGP )</t>
  </si>
  <si>
    <t>Price With VAT ( EGP )</t>
  </si>
  <si>
    <t>Concession Calculator</t>
  </si>
  <si>
    <t>Amount</t>
  </si>
  <si>
    <t xml:space="preserve">Agent </t>
  </si>
  <si>
    <t>TL</t>
  </si>
  <si>
    <t xml:space="preserve">CLM Ticket </t>
  </si>
  <si>
    <t xml:space="preserve">CLM Ticket to Billing  </t>
  </si>
  <si>
    <t>Limit</t>
  </si>
  <si>
    <t>Choose Concession Method</t>
  </si>
  <si>
    <t>SLA</t>
  </si>
  <si>
    <t>On Spot</t>
  </si>
  <si>
    <t>30 Minutes</t>
  </si>
  <si>
    <t>1 Hour</t>
  </si>
  <si>
    <t>2 Hours</t>
  </si>
  <si>
    <t>Type</t>
  </si>
  <si>
    <t>Solving Duration</t>
  </si>
  <si>
    <t>Logic 1</t>
  </si>
  <si>
    <t>Logic 2</t>
  </si>
  <si>
    <t>Choose Concession Type</t>
  </si>
  <si>
    <t>Auto Calc Days</t>
  </si>
  <si>
    <t>Insert Date</t>
  </si>
  <si>
    <t>Insert Time</t>
  </si>
  <si>
    <t>Formoulas Area</t>
  </si>
  <si>
    <t>Powered By CS Customer Satisfaction Survey Team
For any inquiry contact us CSCSI@te.eg</t>
  </si>
  <si>
    <t>Super 2 speed (400 GB)</t>
  </si>
  <si>
    <t>Super 3 speed (400 GB)</t>
  </si>
  <si>
    <t>Mega 2 Speed (600 GB)</t>
  </si>
  <si>
    <t>Mega Speed (1 Tera)</t>
  </si>
  <si>
    <r>
      <t>New</t>
    </r>
    <r>
      <rPr>
        <b/>
        <sz val="10.5"/>
        <color rgb="FFFFFFFF"/>
        <rFont val="Calibri"/>
        <family val="2"/>
      </rPr>
      <t xml:space="preserve"> </t>
    </r>
    <r>
      <rPr>
        <b/>
        <sz val="10.5"/>
        <color rgb="FFFFFFFF"/>
        <rFont val="Candara"/>
        <family val="2"/>
      </rPr>
      <t>Price without VAT - (EGP)</t>
    </r>
  </si>
  <si>
    <t>New Price with VAT - (EGP)</t>
  </si>
  <si>
    <t>Super (3000 GB) - 12 Months</t>
  </si>
  <si>
    <t>Super (4800 GB) - 12 Months</t>
  </si>
  <si>
    <t>Super (7200 GB) - 12 Months</t>
  </si>
  <si>
    <t>Super (12 TB) - 12 Months</t>
  </si>
  <si>
    <t>Mega (7200 GB) - 12 Months</t>
  </si>
  <si>
    <r>
      <t>​</t>
    </r>
    <r>
      <rPr>
        <b/>
        <sz val="12"/>
        <color rgb="FF44546A"/>
        <rFont val="Candara"/>
        <family val="2"/>
      </rPr>
      <t>Mega (3000 GB) - 12 Months</t>
    </r>
  </si>
  <si>
    <t>Ultra (3000 GB) - 12 Months</t>
  </si>
  <si>
    <t>Ultra (7200 GB) - 12 Months</t>
  </si>
  <si>
    <t>6270 </t>
  </si>
  <si>
    <t>Plan Type</t>
  </si>
  <si>
    <t>Price Plan</t>
  </si>
  <si>
    <t>Outage Fixed Giga</t>
  </si>
  <si>
    <t>Indvidual Within Fixed Giga</t>
  </si>
  <si>
    <t>Indvidual Within Gigabytes Agent on Spot</t>
  </si>
  <si>
    <t>Indvidual Within Gigabytes Send to TL</t>
  </si>
  <si>
    <t>Indvidual Within Gigabytes Send to CLM</t>
  </si>
  <si>
    <t>Indvidual Within Gigabytes Send to Billing</t>
  </si>
  <si>
    <t>Indvidual Within Money Agent on Spot</t>
  </si>
  <si>
    <t>Indvidual Within Money Send to TL</t>
  </si>
  <si>
    <t>Indvidual Within Money Send to CLM</t>
  </si>
  <si>
    <t>Indvidual Within Money Send to Billing</t>
  </si>
  <si>
    <t>Logic 2 Result</t>
  </si>
  <si>
    <t>Compensated Days</t>
  </si>
  <si>
    <t>Waiting Time For Outage Automatic Concession</t>
  </si>
  <si>
    <t>Fixed Gigabytes</t>
  </si>
  <si>
    <t>Down Outages</t>
  </si>
  <si>
    <t>Instability Outages</t>
  </si>
  <si>
    <t>Major Fault - Outage</t>
  </si>
  <si>
    <t>Major Fault - Individual</t>
  </si>
  <si>
    <t>Down Cases</t>
  </si>
  <si>
    <t>Instability Cases</t>
  </si>
  <si>
    <t>Case</t>
  </si>
  <si>
    <t>Case Type</t>
  </si>
  <si>
    <t>Valid Days after usage Validation</t>
  </si>
  <si>
    <t>Usage Role</t>
  </si>
  <si>
    <t>Instability</t>
  </si>
  <si>
    <t>Down</t>
  </si>
  <si>
    <t>major Fault</t>
  </si>
  <si>
    <t>Check Usage</t>
  </si>
  <si>
    <t>After Day 1</t>
  </si>
  <si>
    <t>After Day 10</t>
  </si>
  <si>
    <t>From Starting Date</t>
  </si>
  <si>
    <t>Tool Guide</t>
  </si>
  <si>
    <t>&gt;= 5 G</t>
  </si>
  <si>
    <t>&gt;= 1 G</t>
  </si>
  <si>
    <r>
      <t xml:space="preserve">&gt; You must fill all </t>
    </r>
    <r>
      <rPr>
        <b/>
        <u/>
        <sz val="11"/>
        <color theme="5" tint="0.79998168889431442"/>
        <rFont val="Calibri"/>
        <family val="2"/>
        <scheme val="minor"/>
      </rPr>
      <t>highlighted</t>
    </r>
    <r>
      <rPr>
        <b/>
        <sz val="11"/>
        <color theme="0"/>
        <rFont val="Calibri"/>
        <family val="2"/>
        <scheme val="minor"/>
      </rPr>
      <t xml:space="preserve"> cells with required data .</t>
    </r>
  </si>
  <si>
    <t>&gt; For Checking Usage Senario you can follow below table.</t>
  </si>
  <si>
    <t>Super Speed (1 Tera)</t>
  </si>
  <si>
    <t>Mega (12 TB) - 12 Months</t>
  </si>
  <si>
    <t>MAX ( 12 TB )</t>
  </si>
  <si>
    <t>Major Fault-Outage-Maintenance</t>
  </si>
  <si>
    <t>Other Outage Gigabytes Agent on Spot</t>
  </si>
  <si>
    <t>Other Outage Gigabytes Send to TL</t>
  </si>
  <si>
    <t>Other Outage Gigabytes Send to CLM</t>
  </si>
  <si>
    <t>Other Outage Gigabytes Send to Billing</t>
  </si>
  <si>
    <t>Other Outage Money Agent on Spot</t>
  </si>
  <si>
    <t>Other Outage Money Send to TL</t>
  </si>
  <si>
    <t>Other Outage Money Send to CLM</t>
  </si>
  <si>
    <t>Other Outage Money Send to Billing</t>
  </si>
  <si>
    <t>Major Fault-Outage-Maintenance Within Automation Period</t>
  </si>
  <si>
    <t>Major Fault-Outage-Maintenance Gigabytes Agent on Spot</t>
  </si>
  <si>
    <t>Major Fault-Outage-Maintenance Gigabytes Send to TL</t>
  </si>
  <si>
    <t>Major Fault-Outage-Maintenance Gigabytes Send to CLM</t>
  </si>
  <si>
    <t>Major Fault-Outage-Maintenance Gigabytes Send to Billing</t>
  </si>
  <si>
    <t>Major Fault-Outage-Maintenance Money Agent on Spot</t>
  </si>
  <si>
    <t>Major Fault-Outage-Maintenance Money Send to TL</t>
  </si>
  <si>
    <t>Major Fault-Outage-Maintenance Money Send to CLM</t>
  </si>
  <si>
    <t>Major Fault-Outage-Maintenance Money Send to Billing</t>
  </si>
  <si>
    <t>Not availble</t>
  </si>
  <si>
    <t>Super Telephonet 90 (30 GB)</t>
  </si>
  <si>
    <t>Super Telephonet 145 (140 GB)</t>
  </si>
  <si>
    <t>Super Telephonet 230 (250 GB)</t>
  </si>
  <si>
    <t>Technical Satisfaction Concession</t>
  </si>
  <si>
    <t>Outage Fixed Giga 6 : 12 Hours</t>
  </si>
  <si>
    <t>GAMERZ</t>
  </si>
  <si>
    <t>STREAMERZ</t>
  </si>
  <si>
    <t>PLUS</t>
  </si>
  <si>
    <t>الكيان 1</t>
  </si>
  <si>
    <t>الكيان 2</t>
  </si>
  <si>
    <t>الكيان 3</t>
  </si>
  <si>
    <t>الكيان 4</t>
  </si>
  <si>
    <t>الكيان 5</t>
  </si>
  <si>
    <t>Concession Calculator V07</t>
  </si>
  <si>
    <t>Outage</t>
  </si>
  <si>
    <t>Monthly</t>
  </si>
  <si>
    <t>New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</si>
</sst>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ndara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.5"/>
      <color rgb="FF44546A"/>
      <name val="Candara"/>
      <family val="2"/>
    </font>
    <font>
      <b/>
      <sz val="10.5"/>
      <color rgb="FFFFFFFF"/>
      <name val="Candara"/>
      <family val="2"/>
    </font>
    <font>
      <b/>
      <sz val="10.5"/>
      <color rgb="FFFFFFFF"/>
      <name val="Calibri"/>
      <family val="2"/>
    </font>
    <font>
      <b/>
      <sz val="12"/>
      <color rgb="FF44546A"/>
      <name val="Candara"/>
      <family val="2"/>
    </font>
    <font>
      <b/>
      <sz val="12"/>
      <color rgb="FF44546A"/>
      <name val="Arial"/>
      <family val="2"/>
    </font>
    <font>
      <b/>
      <sz val="14"/>
      <color rgb="FF800000"/>
      <name val="Calibri"/>
      <family val="2"/>
    </font>
    <font>
      <b/>
      <sz val="10"/>
      <color theme="0"/>
      <name val="Calibri"/>
      <family val="2"/>
      <scheme val="minor"/>
    </font>
    <font>
      <b/>
      <u/>
      <sz val="11"/>
      <color theme="5" tint="0.79998168889431442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Calibri"/>
      <family val="2"/>
    </font>
    <font>
      <sz val="13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1" xfId="0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/>
    </xf>
    <xf numFmtId="0" fontId="0" fillId="0" borderId="13" xfId="0" applyBorder="1"/>
    <xf numFmtId="0" fontId="0" fillId="2" borderId="13" xfId="0" applyFill="1" applyBorder="1"/>
    <xf numFmtId="22" fontId="0" fillId="0" borderId="1" xfId="0" applyNumberFormat="1" applyBorder="1" applyAlignment="1">
      <alignment horizontal="center"/>
    </xf>
    <xf numFmtId="0" fontId="0" fillId="2" borderId="0" xfId="0" applyFill="1"/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center"/>
    </xf>
    <xf numFmtId="0" fontId="10" fillId="8" borderId="16" xfId="0" applyFont="1" applyFill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3" fontId="12" fillId="0" borderId="13" xfId="0" applyNumberFormat="1" applyFont="1" applyBorder="1" applyAlignment="1">
      <alignment horizontal="center" vertical="center"/>
    </xf>
    <xf numFmtId="3" fontId="12" fillId="0" borderId="14" xfId="0" applyNumberFormat="1" applyFont="1" applyBorder="1" applyAlignment="1">
      <alignment horizontal="center" vertical="center"/>
    </xf>
    <xf numFmtId="4" fontId="12" fillId="0" borderId="17" xfId="0" applyNumberFormat="1" applyFont="1" applyBorder="1" applyAlignment="1">
      <alignment horizontal="center" vertical="center"/>
    </xf>
    <xf numFmtId="3" fontId="12" fillId="0" borderId="17" xfId="0" applyNumberFormat="1" applyFont="1" applyBorder="1" applyAlignment="1">
      <alignment horizontal="center" vertical="center"/>
    </xf>
    <xf numFmtId="4" fontId="12" fillId="0" borderId="18" xfId="0" applyNumberFormat="1" applyFont="1" applyBorder="1" applyAlignment="1">
      <alignment horizontal="center" vertical="center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9" borderId="6" xfId="0" applyFont="1" applyFill="1" applyBorder="1" applyAlignment="1" applyProtection="1">
      <alignment horizontal="center"/>
      <protection locked="0"/>
    </xf>
    <xf numFmtId="0" fontId="2" fillId="9" borderId="7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164" fontId="0" fillId="0" borderId="0" xfId="0" applyNumberFormat="1"/>
    <xf numFmtId="0" fontId="0" fillId="0" borderId="6" xfId="0" applyBorder="1"/>
    <xf numFmtId="0" fontId="2" fillId="0" borderId="0" xfId="0" applyFont="1" applyAlignment="1">
      <alignment horizontal="center" vertical="center"/>
    </xf>
    <xf numFmtId="46" fontId="0" fillId="0" borderId="0" xfId="0" applyNumberFormat="1"/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5" xfId="0" applyBorder="1"/>
    <xf numFmtId="0" fontId="2" fillId="0" borderId="6" xfId="0" applyFont="1" applyBorder="1" applyAlignment="1">
      <alignment vertical="center"/>
    </xf>
    <xf numFmtId="0" fontId="0" fillId="0" borderId="7" xfId="0" applyBorder="1"/>
    <xf numFmtId="0" fontId="9" fillId="0" borderId="0" xfId="0" applyFont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" fillId="10" borderId="25" xfId="0" applyFont="1" applyFill="1" applyBorder="1" applyAlignment="1">
      <alignment horizontal="center"/>
    </xf>
    <xf numFmtId="1" fontId="1" fillId="10" borderId="26" xfId="0" applyNumberFormat="1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2" fillId="0" borderId="0" xfId="0" applyFont="1"/>
    <xf numFmtId="0" fontId="2" fillId="0" borderId="12" xfId="0" applyFont="1" applyBorder="1"/>
    <xf numFmtId="0" fontId="4" fillId="0" borderId="0" xfId="1"/>
    <xf numFmtId="0" fontId="0" fillId="11" borderId="0" xfId="0" applyFill="1"/>
    <xf numFmtId="0" fontId="9" fillId="11" borderId="7" xfId="0" applyFont="1" applyFill="1" applyBorder="1" applyAlignment="1">
      <alignment horizontal="center"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28" xfId="0" applyBorder="1"/>
    <xf numFmtId="0" fontId="20" fillId="0" borderId="29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 readingOrder="2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9" borderId="2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 applyProtection="1">
      <alignment horizontal="center" vertical="center"/>
      <protection locked="0"/>
    </xf>
    <xf numFmtId="0" fontId="5" fillId="9" borderId="4" xfId="0" applyFont="1" applyFill="1" applyBorder="1" applyAlignment="1" applyProtection="1">
      <alignment horizontal="center" vertical="center"/>
      <protection locked="0"/>
    </xf>
    <xf numFmtId="0" fontId="5" fillId="9" borderId="5" xfId="0" applyFont="1" applyFill="1" applyBorder="1" applyAlignment="1" applyProtection="1">
      <alignment horizontal="center" vertical="center"/>
      <protection locked="0"/>
    </xf>
    <xf numFmtId="0" fontId="5" fillId="9" borderId="6" xfId="0" applyFont="1" applyFill="1" applyBorder="1" applyAlignment="1" applyProtection="1">
      <alignment horizontal="center" vertical="center"/>
      <protection locked="0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 vertical="center"/>
    </xf>
    <xf numFmtId="0" fontId="2" fillId="9" borderId="2" xfId="0" applyFont="1" applyFill="1" applyBorder="1" applyAlignment="1" applyProtection="1">
      <alignment horizontal="center" vertical="center"/>
      <protection locked="0"/>
    </xf>
    <xf numFmtId="0" fontId="2" fillId="9" borderId="3" xfId="0" applyFont="1" applyFill="1" applyBorder="1" applyAlignment="1" applyProtection="1">
      <alignment horizontal="center" vertical="center"/>
      <protection locked="0"/>
    </xf>
    <xf numFmtId="0" fontId="2" fillId="9" borderId="4" xfId="0" applyFont="1" applyFill="1" applyBorder="1" applyAlignment="1" applyProtection="1">
      <alignment horizontal="center" vertical="center"/>
      <protection locked="0"/>
    </xf>
    <xf numFmtId="0" fontId="2" fillId="9" borderId="5" xfId="0" applyFont="1" applyFill="1" applyBorder="1" applyAlignment="1" applyProtection="1">
      <alignment horizontal="center" vertical="center"/>
      <protection locked="0"/>
    </xf>
    <xf numFmtId="0" fontId="2" fillId="9" borderId="6" xfId="0" applyFont="1" applyFill="1" applyBorder="1" applyAlignment="1" applyProtection="1">
      <alignment horizontal="center" vertical="center"/>
      <protection locked="0"/>
    </xf>
    <xf numFmtId="0" fontId="2" fillId="9" borderId="7" xfId="0" applyFont="1" applyFill="1" applyBorder="1" applyAlignment="1" applyProtection="1">
      <alignment horizontal="center" vertical="center"/>
      <protection locked="0"/>
    </xf>
    <xf numFmtId="0" fontId="1" fillId="5" borderId="8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3" fillId="7" borderId="2" xfId="1" applyFont="1" applyFill="1" applyBorder="1" applyAlignment="1" applyProtection="1">
      <alignment horizontal="center" vertical="center" wrapText="1"/>
    </xf>
    <xf numFmtId="0" fontId="3" fillId="7" borderId="3" xfId="1" applyFont="1" applyFill="1" applyBorder="1" applyAlignment="1" applyProtection="1">
      <alignment horizontal="center" vertical="center" wrapText="1"/>
    </xf>
    <xf numFmtId="0" fontId="3" fillId="7" borderId="4" xfId="1" applyFont="1" applyFill="1" applyBorder="1" applyAlignment="1" applyProtection="1">
      <alignment horizontal="center" vertical="center" wrapText="1"/>
    </xf>
    <xf numFmtId="0" fontId="3" fillId="7" borderId="5" xfId="1" applyFont="1" applyFill="1" applyBorder="1" applyAlignment="1" applyProtection="1">
      <alignment horizontal="center" vertical="center" wrapText="1"/>
    </xf>
    <xf numFmtId="0" fontId="3" fillId="7" borderId="6" xfId="1" applyFont="1" applyFill="1" applyBorder="1" applyAlignment="1" applyProtection="1">
      <alignment horizontal="center" vertical="center" wrapText="1"/>
    </xf>
    <xf numFmtId="0" fontId="3" fillId="7" borderId="7" xfId="1" applyFont="1" applyFill="1" applyBorder="1" applyAlignment="1" applyProtection="1">
      <alignment horizontal="center" vertical="center" wrapText="1"/>
    </xf>
    <xf numFmtId="0" fontId="1" fillId="5" borderId="9" xfId="0" applyFont="1" applyFill="1" applyBorder="1" applyAlignment="1">
      <alignment horizontal="center"/>
    </xf>
    <xf numFmtId="0" fontId="2" fillId="9" borderId="11" xfId="0" applyFont="1" applyFill="1" applyBorder="1" applyAlignment="1" applyProtection="1">
      <alignment horizontal="center" vertical="center"/>
      <protection locked="0"/>
    </xf>
    <xf numFmtId="0" fontId="2" fillId="9" borderId="1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2" fontId="2" fillId="0" borderId="2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2" fillId="6" borderId="2" xfId="0" applyNumberFormat="1" applyFont="1" applyFill="1" applyBorder="1" applyAlignment="1">
      <alignment horizontal="center" vertical="center"/>
    </xf>
    <xf numFmtId="164" fontId="2" fillId="6" borderId="4" xfId="0" applyNumberFormat="1" applyFont="1" applyFill="1" applyBorder="1" applyAlignment="1">
      <alignment horizontal="center" vertical="center"/>
    </xf>
    <xf numFmtId="164" fontId="2" fillId="6" borderId="5" xfId="0" applyNumberFormat="1" applyFont="1" applyFill="1" applyBorder="1" applyAlignment="1">
      <alignment horizontal="center" vertical="center"/>
    </xf>
    <xf numFmtId="164" fontId="2" fillId="6" borderId="7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5" fillId="5" borderId="8" xfId="0" applyFont="1" applyFill="1" applyBorder="1" applyAlignment="1">
      <alignment horizontal="center"/>
    </xf>
    <xf numFmtId="0" fontId="15" fillId="5" borderId="10" xfId="0" applyFont="1" applyFill="1" applyBorder="1" applyAlignment="1">
      <alignment horizont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left"/>
    </xf>
    <xf numFmtId="0" fontId="1" fillId="10" borderId="0" xfId="0" applyFont="1" applyFill="1" applyAlignment="1">
      <alignment horizontal="left"/>
    </xf>
    <xf numFmtId="0" fontId="1" fillId="10" borderId="12" xfId="0" applyFont="1" applyFill="1" applyBorder="1" applyAlignment="1">
      <alignment horizontal="left"/>
    </xf>
    <xf numFmtId="0" fontId="18" fillId="10" borderId="11" xfId="1" applyFont="1" applyFill="1" applyBorder="1" applyAlignment="1" applyProtection="1">
      <alignment horizontal="center" vertical="center"/>
    </xf>
    <xf numFmtId="0" fontId="18" fillId="10" borderId="0" xfId="1" applyFont="1" applyFill="1" applyBorder="1" applyAlignment="1" applyProtection="1">
      <alignment horizontal="center" vertical="center"/>
    </xf>
    <xf numFmtId="0" fontId="18" fillId="10" borderId="12" xfId="1" applyFont="1" applyFill="1" applyBorder="1" applyAlignment="1" applyProtection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2" fillId="9" borderId="8" xfId="0" applyFont="1" applyFill="1" applyBorder="1" applyAlignment="1" applyProtection="1">
      <alignment horizontal="center" vertical="center"/>
      <protection locked="0"/>
    </xf>
    <xf numFmtId="0" fontId="2" fillId="9" borderId="9" xfId="0" applyFont="1" applyFill="1" applyBorder="1" applyAlignment="1" applyProtection="1">
      <alignment horizontal="center" vertical="center"/>
      <protection locked="0"/>
    </xf>
    <xf numFmtId="0" fontId="2" fillId="9" borderId="10" xfId="0" applyFont="1" applyFill="1" applyBorder="1" applyAlignment="1" applyProtection="1">
      <alignment horizontal="center" vertical="center"/>
      <protection locked="0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2" borderId="13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22</xdr:row>
          <xdr:rowOff>180975</xdr:rowOff>
        </xdr:from>
        <xdr:to>
          <xdr:col>10</xdr:col>
          <xdr:colOff>666750</xdr:colOff>
          <xdr:row>25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19</xdr:row>
          <xdr:rowOff>19050</xdr:rowOff>
        </xdr:from>
        <xdr:to>
          <xdr:col>21</xdr:col>
          <xdr:colOff>1200150</xdr:colOff>
          <xdr:row>20</xdr:row>
          <xdr:rowOff>171450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Usage Tool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pen Usage Tool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9"/>
  <sheetViews>
    <sheetView showGridLines="0" showRowColHeaders="0" tabSelected="1" zoomScale="85" zoomScaleNormal="85" workbookViewId="0">
      <pane xSplit="22" ySplit="29" topLeftCell="Y30" activePane="bottomRight" state="frozen"/>
      <selection pane="topRight" activeCell="W1" sqref="W1"/>
      <selection pane="bottomLeft" activeCell="A30" sqref="A30"/>
      <selection pane="bottomRight" activeCell="C8" sqref="C8:F9"/>
    </sheetView>
  </sheetViews>
  <sheetFormatPr defaultRowHeight="15" x14ac:dyDescent="0.25"/>
  <cols>
    <col min="1" max="1" width="2.28515625" customWidth="1"/>
    <col min="2" max="2" width="2" customWidth="1"/>
    <col min="3" max="6" width="11.28515625" customWidth="1"/>
    <col min="7" max="7" width="2.42578125" customWidth="1"/>
    <col min="8" max="8" width="9.5703125" customWidth="1"/>
    <col min="9" max="9" width="5.7109375" customWidth="1"/>
    <col min="10" max="10" width="8.7109375" customWidth="1"/>
    <col min="11" max="11" width="9.7109375" customWidth="1"/>
    <col min="12" max="12" width="2" customWidth="1"/>
    <col min="14" max="14" width="18.140625" customWidth="1"/>
    <col min="15" max="15" width="2.5703125" customWidth="1"/>
    <col min="16" max="16" width="19" bestFit="1" customWidth="1"/>
    <col min="18" max="18" width="2.28515625" customWidth="1"/>
    <col min="19" max="19" width="2" customWidth="1"/>
    <col min="20" max="20" width="11.85546875" customWidth="1"/>
    <col min="21" max="21" width="16.7109375" bestFit="1" customWidth="1"/>
    <col min="22" max="22" width="21.140625" customWidth="1"/>
    <col min="23" max="23" width="30.7109375" customWidth="1"/>
    <col min="24" max="24" width="10" bestFit="1" customWidth="1"/>
  </cols>
  <sheetData>
    <row r="1" spans="1:23" ht="3.6" customHeight="1" thickBot="1" x14ac:dyDescent="0.3">
      <c r="A1" s="26"/>
    </row>
    <row r="2" spans="1:23" x14ac:dyDescent="0.25">
      <c r="B2" s="161" t="s">
        <v>154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3"/>
      <c r="T2" s="149" t="s">
        <v>114</v>
      </c>
      <c r="U2" s="150"/>
      <c r="V2" s="151"/>
    </row>
    <row r="3" spans="1:23" ht="19.149999999999999" customHeight="1" thickBot="1" x14ac:dyDescent="0.3">
      <c r="B3" s="164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6"/>
      <c r="T3" s="152"/>
      <c r="U3" s="153"/>
      <c r="V3" s="154"/>
    </row>
    <row r="4" spans="1:23" ht="4.9000000000000004" customHeight="1" thickBot="1" x14ac:dyDescent="0.3">
      <c r="T4" s="30"/>
      <c r="V4" s="31"/>
    </row>
    <row r="5" spans="1:23" ht="9" customHeight="1" thickBot="1" x14ac:dyDescent="0.3">
      <c r="B5" s="27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T5" s="30"/>
      <c r="V5" s="31"/>
    </row>
    <row r="6" spans="1:23" ht="15.75" thickBot="1" x14ac:dyDescent="0.3">
      <c r="B6" s="30"/>
      <c r="C6" s="167" t="s">
        <v>60</v>
      </c>
      <c r="D6" s="168"/>
      <c r="E6" s="168"/>
      <c r="F6" s="169"/>
      <c r="H6" s="75" t="s">
        <v>0</v>
      </c>
      <c r="I6" s="88" t="s">
        <v>62</v>
      </c>
      <c r="J6" s="88"/>
      <c r="K6" s="88"/>
      <c r="L6" s="28"/>
      <c r="M6" s="99" t="s">
        <v>63</v>
      </c>
      <c r="N6" s="100"/>
      <c r="P6" s="145" t="s">
        <v>7</v>
      </c>
      <c r="Q6" s="146"/>
      <c r="R6" s="31"/>
      <c r="T6" s="30"/>
      <c r="V6" s="31"/>
    </row>
    <row r="7" spans="1:23" ht="15.75" thickBot="1" x14ac:dyDescent="0.3">
      <c r="B7" s="30"/>
      <c r="C7" s="170"/>
      <c r="D7" s="171"/>
      <c r="E7" s="171"/>
      <c r="F7" s="172"/>
      <c r="H7" s="76"/>
      <c r="I7" s="32" t="s">
        <v>2</v>
      </c>
      <c r="J7" s="33" t="s">
        <v>1</v>
      </c>
      <c r="K7" s="34" t="s">
        <v>3</v>
      </c>
      <c r="M7" s="32" t="s">
        <v>5</v>
      </c>
      <c r="N7" s="34" t="s">
        <v>6</v>
      </c>
      <c r="P7" s="141">
        <f>IFERROR(DATE(K8,J8,I8)+TIME(M8,N8,),"")</f>
        <v>45565</v>
      </c>
      <c r="Q7" s="142"/>
      <c r="R7" s="31"/>
      <c r="T7" s="155" t="s">
        <v>117</v>
      </c>
      <c r="U7" s="156"/>
      <c r="V7" s="157"/>
      <c r="W7" s="41"/>
    </row>
    <row r="8" spans="1:23" ht="15" customHeight="1" thickBot="1" x14ac:dyDescent="0.3">
      <c r="B8" s="30"/>
      <c r="C8" s="81" t="s">
        <v>155</v>
      </c>
      <c r="D8" s="82"/>
      <c r="E8" s="82"/>
      <c r="F8" s="83"/>
      <c r="H8" s="76"/>
      <c r="I8" s="23"/>
      <c r="J8" s="24">
        <v>10</v>
      </c>
      <c r="K8" s="25">
        <v>2024</v>
      </c>
      <c r="M8" s="23"/>
      <c r="N8" s="25"/>
      <c r="P8" s="143"/>
      <c r="Q8" s="144"/>
      <c r="R8" s="31"/>
      <c r="T8" s="155" t="s">
        <v>118</v>
      </c>
      <c r="U8" s="156"/>
      <c r="V8" s="157"/>
    </row>
    <row r="9" spans="1:23" ht="15" customHeight="1" thickBot="1" x14ac:dyDescent="0.3">
      <c r="B9" s="30"/>
      <c r="C9" s="84"/>
      <c r="D9" s="85"/>
      <c r="E9" s="85"/>
      <c r="F9" s="86"/>
      <c r="H9" s="35"/>
      <c r="I9" s="36"/>
      <c r="J9" s="36"/>
      <c r="K9" s="36"/>
      <c r="M9" s="36"/>
      <c r="N9" s="37"/>
      <c r="P9" s="38"/>
      <c r="R9" s="31"/>
      <c r="T9" s="30"/>
      <c r="U9" s="63"/>
      <c r="V9" s="64"/>
    </row>
    <row r="10" spans="1:23" ht="15.75" thickBot="1" x14ac:dyDescent="0.3">
      <c r="B10" s="30"/>
      <c r="H10" s="76" t="s">
        <v>4</v>
      </c>
      <c r="I10" s="32" t="s">
        <v>2</v>
      </c>
      <c r="J10" s="33" t="s">
        <v>1</v>
      </c>
      <c r="K10" s="34" t="s">
        <v>3</v>
      </c>
      <c r="M10" s="32" t="s">
        <v>5</v>
      </c>
      <c r="N10" s="34" t="s">
        <v>6</v>
      </c>
      <c r="P10" s="141">
        <f>IFERROR(DATE(K11,J11,I11)+TIME(M11,N11,),"")</f>
        <v>45565</v>
      </c>
      <c r="Q10" s="142"/>
      <c r="R10" s="31"/>
      <c r="T10" s="60" t="s">
        <v>103</v>
      </c>
      <c r="U10" s="61" t="s">
        <v>110</v>
      </c>
      <c r="V10" s="62" t="s">
        <v>106</v>
      </c>
    </row>
    <row r="11" spans="1:23" ht="15.75" thickBot="1" x14ac:dyDescent="0.3">
      <c r="B11" s="30"/>
      <c r="C11" s="99" t="s">
        <v>104</v>
      </c>
      <c r="D11" s="109"/>
      <c r="E11" s="109"/>
      <c r="F11" s="100"/>
      <c r="H11" s="92"/>
      <c r="I11" s="23"/>
      <c r="J11" s="24">
        <v>10</v>
      </c>
      <c r="K11" s="25">
        <v>2024</v>
      </c>
      <c r="L11" s="39"/>
      <c r="M11" s="23"/>
      <c r="N11" s="25"/>
      <c r="P11" s="143"/>
      <c r="Q11" s="144"/>
      <c r="R11" s="31"/>
      <c r="T11" s="51" t="s">
        <v>107</v>
      </c>
      <c r="U11" s="52" t="s">
        <v>111</v>
      </c>
      <c r="V11" s="53" t="s">
        <v>115</v>
      </c>
    </row>
    <row r="12" spans="1:23" ht="15.75" thickBot="1" x14ac:dyDescent="0.3">
      <c r="B12" s="30"/>
      <c r="C12" s="93" t="s">
        <v>97</v>
      </c>
      <c r="D12" s="94"/>
      <c r="E12" s="94"/>
      <c r="F12" s="95"/>
      <c r="R12" s="31"/>
      <c r="T12" s="54" t="s">
        <v>108</v>
      </c>
      <c r="U12" s="55" t="s">
        <v>112</v>
      </c>
      <c r="V12" s="56" t="s">
        <v>116</v>
      </c>
    </row>
    <row r="13" spans="1:23" ht="18.600000000000001" customHeight="1" thickBot="1" x14ac:dyDescent="0.3">
      <c r="B13" s="30"/>
      <c r="C13" s="96"/>
      <c r="D13" s="97"/>
      <c r="E13" s="97"/>
      <c r="F13" s="98"/>
      <c r="H13" s="112" t="str">
        <f ca="1">IFERROR(IF(E24="","",VLOOKUP("True",Logics,2,0)),"")</f>
        <v/>
      </c>
      <c r="I13" s="113"/>
      <c r="J13" s="113"/>
      <c r="K13" s="114"/>
      <c r="M13" s="99" t="s">
        <v>50</v>
      </c>
      <c r="N13" s="109"/>
      <c r="O13" s="109"/>
      <c r="P13" s="109"/>
      <c r="Q13" s="100"/>
      <c r="R13" s="31"/>
      <c r="T13" s="57" t="s">
        <v>109</v>
      </c>
      <c r="U13" s="58" t="s">
        <v>113</v>
      </c>
      <c r="V13" s="59" t="s">
        <v>116</v>
      </c>
    </row>
    <row r="14" spans="1:23" ht="22.9" customHeight="1" thickBot="1" x14ac:dyDescent="0.3">
      <c r="B14" s="30"/>
      <c r="C14" s="40"/>
      <c r="D14" s="40"/>
      <c r="E14" s="40"/>
      <c r="F14" s="40"/>
      <c r="H14" s="115"/>
      <c r="I14" s="116"/>
      <c r="J14" s="116"/>
      <c r="K14" s="117"/>
      <c r="M14" s="173"/>
      <c r="N14" s="174"/>
      <c r="O14" s="174"/>
      <c r="P14" s="174"/>
      <c r="Q14" s="175"/>
      <c r="R14" s="31"/>
      <c r="T14" s="30"/>
      <c r="V14" s="31"/>
    </row>
    <row r="15" spans="1:23" ht="15" customHeight="1" thickBot="1" x14ac:dyDescent="0.3">
      <c r="B15" s="30"/>
      <c r="H15" s="115"/>
      <c r="I15" s="116"/>
      <c r="J15" s="116"/>
      <c r="K15" s="117"/>
      <c r="R15" s="31"/>
      <c r="T15" s="30"/>
      <c r="V15" s="31"/>
    </row>
    <row r="16" spans="1:23" ht="15" customHeight="1" thickBot="1" x14ac:dyDescent="0.3">
      <c r="B16" s="30"/>
      <c r="C16" s="99" t="s">
        <v>81</v>
      </c>
      <c r="D16" s="100"/>
      <c r="E16" s="101" t="s">
        <v>82</v>
      </c>
      <c r="F16" s="102"/>
      <c r="H16" s="115"/>
      <c r="I16" s="116"/>
      <c r="J16" s="116"/>
      <c r="K16" s="117"/>
      <c r="M16" s="147" t="s">
        <v>105</v>
      </c>
      <c r="N16" s="148"/>
      <c r="P16" s="145" t="s">
        <v>61</v>
      </c>
      <c r="Q16" s="146"/>
      <c r="R16" s="31"/>
      <c r="T16" s="30"/>
      <c r="V16" s="31"/>
    </row>
    <row r="17" spans="2:22" ht="21.6" customHeight="1" thickBot="1" x14ac:dyDescent="0.3">
      <c r="B17" s="30"/>
      <c r="C17" s="110" t="s">
        <v>156</v>
      </c>
      <c r="D17" s="111"/>
      <c r="E17" s="110" t="s">
        <v>157</v>
      </c>
      <c r="F17" s="111"/>
      <c r="H17" s="115"/>
      <c r="I17" s="116"/>
      <c r="J17" s="116"/>
      <c r="K17" s="117"/>
      <c r="M17" s="178"/>
      <c r="N17" s="179"/>
      <c r="P17" s="176" t="str">
        <f>IFERROR(IF(M17="",IF(P10-P7&lt;1,TEXT(HOUR(P10-P7),"0")&amp;" Hours &amp; "&amp;TEXT(MINUTE(P10-P7),"0")&amp;" Minutes",ROUNDUP(P10-P7,0)&amp;" Days"),M17&amp;" Days"),"")</f>
        <v>0 Hours &amp; 0 Minutes</v>
      </c>
      <c r="Q17" s="177"/>
      <c r="R17" s="31"/>
      <c r="T17" s="30"/>
      <c r="V17" s="31"/>
    </row>
    <row r="18" spans="2:22" ht="15" customHeight="1" thickBot="1" x14ac:dyDescent="0.3">
      <c r="B18" s="30"/>
      <c r="C18" s="96"/>
      <c r="D18" s="98"/>
      <c r="E18" s="96"/>
      <c r="F18" s="98"/>
      <c r="H18" s="115"/>
      <c r="I18" s="116"/>
      <c r="J18" s="116"/>
      <c r="K18" s="117"/>
      <c r="M18" s="68"/>
      <c r="N18" s="68"/>
      <c r="P18" s="43"/>
      <c r="Q18" s="43"/>
      <c r="R18" s="31"/>
      <c r="S18" s="41"/>
      <c r="T18" s="30"/>
      <c r="V18" s="31"/>
    </row>
    <row r="19" spans="2:22" ht="15" customHeight="1" thickBot="1" x14ac:dyDescent="0.3">
      <c r="B19" s="30"/>
      <c r="H19" s="115"/>
      <c r="I19" s="116"/>
      <c r="J19" s="116"/>
      <c r="K19" s="117"/>
      <c r="M19" s="132" t="s">
        <v>43</v>
      </c>
      <c r="N19" s="133"/>
      <c r="O19" s="133"/>
      <c r="P19" s="133"/>
      <c r="Q19" s="134"/>
      <c r="R19" s="31"/>
      <c r="T19" s="30"/>
      <c r="V19" s="31"/>
    </row>
    <row r="20" spans="2:22" ht="15" customHeight="1" thickBot="1" x14ac:dyDescent="0.3">
      <c r="B20" s="30"/>
      <c r="C20" s="87" t="s">
        <v>8</v>
      </c>
      <c r="D20" s="88"/>
      <c r="E20" s="88"/>
      <c r="F20" s="89"/>
      <c r="H20" s="115"/>
      <c r="I20" s="116"/>
      <c r="J20" s="116"/>
      <c r="K20" s="117"/>
      <c r="M20" s="180" t="s">
        <v>44</v>
      </c>
      <c r="N20" s="181"/>
      <c r="O20" s="69"/>
      <c r="P20" s="180" t="s">
        <v>12</v>
      </c>
      <c r="Q20" s="181"/>
      <c r="R20" s="31"/>
      <c r="T20" s="158"/>
      <c r="U20" s="159"/>
      <c r="V20" s="160"/>
    </row>
    <row r="21" spans="2:22" ht="14.45" customHeight="1" x14ac:dyDescent="0.25">
      <c r="B21" s="30"/>
      <c r="C21" s="93" t="s">
        <v>15</v>
      </c>
      <c r="D21" s="94"/>
      <c r="E21" s="94"/>
      <c r="F21" s="95"/>
      <c r="H21" s="118" t="str">
        <f ca="1">IF(OR(AND(OR(C12=Data!Z2,C12=Data!Z4),Data!W7&gt;10,Data!W7&lt;&gt;""),AND(OR(C12=Data!Z3,C12=Data!Z5),Data!W7&gt;1,Data!W7&lt;&gt;""),AND(OR(C12=Data!Z6,C12=Data!Z7,C12=Data!Z8),Data!W7&gt;=0.5,Data!W7&lt;&gt;"",LEFT(H13,23)&lt;&gt;"Inform Customer to Wait")),"Don't forget to Check CST Usage","")</f>
        <v/>
      </c>
      <c r="I21" s="119"/>
      <c r="J21" s="119"/>
      <c r="K21" s="120"/>
      <c r="M21" s="124" t="str">
        <f>IFERROR(IF(AND(C17="Monthly",E17&lt;&gt;"",M14="Amount",OR(C21=Data!A35,C21=Data!A36,C21=Data!A37)),IF(Data!W7&gt;=1,(E25/30)*Data!W7,0),IF(AND(C17="Monthly",E17&lt;&gt;"",M14="Amount",OR(C21&lt;&gt;Data!A35,C21&lt;&gt;Data!A36,C21&lt;&gt;Data!A37)),IF(Data!W7&gt;=1,(E24/30)*Data!W7,0),IF(AND(C17="Yearly",E17&lt;&gt;"",M14="Amount"),IF(Data!W7&gt;=1,(E24/365)*Data!W7,0),""))),"")</f>
        <v/>
      </c>
      <c r="N21" s="125"/>
      <c r="O21" s="77"/>
      <c r="P21" s="128">
        <f>IFERROR(IF(AND(C17="Monthly",E17&lt;&gt;""),IF(AND(Data!W7&gt;=1,M14="Gigabytes"),(VLOOKUP($C$21,Data!A:D,4,0)/30)*Data!W7,IF(AND(Data!W7&lt;1,Data!W7&gt;=0.25,C8="Outage"),VLOOKUP($C$21,Data!A:G,7,0),IF(AND(Data!W7&lt;1,Data!W7&gt;=0.5,C8="Individual Case"),VLOOKUP($C$21,Data!A:G,7,0),0))),IF(AND($C$17="Yearly",E17&lt;&gt;""),IF(AND(Data!W7&gt;=1,M14="Gigabytes"),(VLOOKUP($C$21,Data!I:N,4,0)/365)*Data!W7,IF(AND(Data!W7&lt;1,Data!W7&gt;=0.25,C8="Outage"),VLOOKUP($C$21,Data!I:O,7,0),IF(AND(Data!W7&lt;1,Data!W7&gt;=0.5,C8="Individual Case"),VLOOKUP($C$21,Data!I:O,7,0),0))),"")),"")</f>
        <v>0</v>
      </c>
      <c r="Q21" s="129"/>
      <c r="R21" s="31"/>
      <c r="T21" s="158"/>
      <c r="U21" s="159"/>
      <c r="V21" s="160"/>
    </row>
    <row r="22" spans="2:22" ht="15" customHeight="1" thickBot="1" x14ac:dyDescent="0.3">
      <c r="B22" s="30"/>
      <c r="C22" s="96"/>
      <c r="D22" s="97"/>
      <c r="E22" s="97"/>
      <c r="F22" s="98"/>
      <c r="H22" s="121"/>
      <c r="I22" s="122"/>
      <c r="J22" s="122"/>
      <c r="K22" s="123"/>
      <c r="M22" s="126"/>
      <c r="N22" s="127"/>
      <c r="O22" s="78"/>
      <c r="P22" s="130"/>
      <c r="Q22" s="131"/>
      <c r="R22" s="31"/>
      <c r="T22" s="30"/>
      <c r="V22" s="31"/>
    </row>
    <row r="23" spans="2:22" ht="15" customHeight="1" thickBot="1" x14ac:dyDescent="0.3">
      <c r="B23" s="30"/>
      <c r="H23" s="42"/>
      <c r="I23" s="42"/>
      <c r="J23" s="42"/>
      <c r="K23" s="42"/>
      <c r="M23" s="132" t="s">
        <v>144</v>
      </c>
      <c r="N23" s="133"/>
      <c r="O23" s="133"/>
      <c r="P23" s="133"/>
      <c r="Q23" s="134"/>
      <c r="R23" s="31"/>
      <c r="T23" s="30"/>
      <c r="U23" s="65"/>
      <c r="V23" s="31"/>
    </row>
    <row r="24" spans="2:22" ht="15" customHeight="1" thickBot="1" x14ac:dyDescent="0.3">
      <c r="B24" s="30"/>
      <c r="C24" s="90" t="s">
        <v>41</v>
      </c>
      <c r="D24" s="91"/>
      <c r="E24" s="73">
        <f>IFERROR(IF(AND($C$17="Monthly",$E$17="Old Price"),VLOOKUP($C$21,Data!A:F,2,0),IF(AND($C$17="Monthly",$E$17="New Price"),VLOOKUP($C$21,Data!A:F,5,0),IF(AND($C$17="Yearly",$E$17="Old Price"),VLOOKUP($C$21,Data!I:N,2,0),IF(AND($C$17="Yearly",$E$17="New Price"),VLOOKUP($C$21,Data!I:N,5,0),"")))),"")</f>
        <v>160</v>
      </c>
      <c r="F24" s="74"/>
      <c r="H24" s="42"/>
      <c r="I24" s="42"/>
      <c r="J24" s="42"/>
      <c r="K24" s="42"/>
      <c r="L24" s="43"/>
      <c r="M24" s="135" t="str">
        <f>IFERROR(IF(AND(C17="Monthly",E17&lt;&gt;""),IF(AND(Data!W7&gt;=1,M14&lt;&gt;""),TEXT((VLOOKUP($C$21,Data!A:D,4,0)/30)*Data!W7,"0"),IF(AND(Data!W7&lt;1,Data!W7&gt;=0.5),VLOOKUP($C$21,Data!A:G,7,0),0))&amp;" Extra Gigabytes",IF(AND($C$17="Yearly",E17&lt;&gt;""),IF(AND(Data!W7&gt;=1,M14&lt;&gt;""),TEXT((VLOOKUP($C$21,Data!I:N,4,0)/365)*Data!W7,"0"),IF(AND(Data!W7&lt;1,Data!W7&gt;=0.5),VLOOKUP($C$21,Data!I:O,7,0),0))&amp;" Extra Gigabytes","")),"")</f>
        <v>0 Extra Gigabytes</v>
      </c>
      <c r="N24" s="136"/>
      <c r="O24" s="136"/>
      <c r="P24" s="136"/>
      <c r="Q24" s="137"/>
      <c r="R24" s="31"/>
      <c r="T24" s="30"/>
      <c r="V24" s="31"/>
    </row>
    <row r="25" spans="2:22" ht="15" customHeight="1" thickBot="1" x14ac:dyDescent="0.3">
      <c r="B25" s="30"/>
      <c r="C25" s="90" t="s">
        <v>42</v>
      </c>
      <c r="D25" s="91"/>
      <c r="E25" s="79">
        <f>IFERROR(IF(AND($C$17="Monthly",$E$17="Old Price"),VLOOKUP($C$21,Data!A:F,3,0),IF(AND($C$17="Monthly",$E$17="New Price"),VLOOKUP($C$21,Data!A:F,6,0),IF(AND($C$17="Yearly",$E$17="Old Price"),VLOOKUP($C$21,Data!I:N,3,0),IF(AND($C$17="Yearly",$E$17="New Price"),VLOOKUP($C$21,Data!I:N,6,0),"")))),"")</f>
        <v>182.4</v>
      </c>
      <c r="F25" s="80"/>
      <c r="H25" s="42"/>
      <c r="I25" s="42"/>
      <c r="J25" s="42"/>
      <c r="K25" s="42"/>
      <c r="L25" s="43"/>
      <c r="M25" s="138"/>
      <c r="N25" s="139"/>
      <c r="O25" s="139"/>
      <c r="P25" s="139"/>
      <c r="Q25" s="140"/>
      <c r="R25" s="31"/>
      <c r="T25" s="30"/>
      <c r="V25" s="31"/>
    </row>
    <row r="26" spans="2:22" ht="7.9" customHeight="1" thickBot="1" x14ac:dyDescent="0.3">
      <c r="B26" s="44"/>
      <c r="C26" s="39"/>
      <c r="D26" s="39"/>
      <c r="E26" s="39"/>
      <c r="F26" s="39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39"/>
      <c r="R26" s="46"/>
      <c r="T26" s="44"/>
      <c r="U26" s="39"/>
      <c r="V26" s="46"/>
    </row>
    <row r="27" spans="2:22" ht="4.9000000000000004" customHeight="1" thickBot="1" x14ac:dyDescent="0.3"/>
    <row r="28" spans="2:22" ht="14.45" customHeight="1" x14ac:dyDescent="0.25">
      <c r="B28" s="103" t="s">
        <v>65</v>
      </c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5"/>
    </row>
    <row r="29" spans="2:22" ht="15.75" thickBot="1" x14ac:dyDescent="0.3">
      <c r="B29" s="106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8"/>
    </row>
  </sheetData>
  <sheetProtection algorithmName="SHA-512" hashValue="GfsXq5xnQZWqJt1xXBYV7sm/W1FsqvhSu6PfyL/vyqss4pk0DLzNS39maZ41yALHujOwJ1P8iwRTTy+R6HjJoA==" saltValue="5FjwfAgzoumjQrAB7EIX5w==" spinCount="100000" sheet="1" selectLockedCells="1"/>
  <mergeCells count="43">
    <mergeCell ref="T2:V3"/>
    <mergeCell ref="T7:V7"/>
    <mergeCell ref="T8:V8"/>
    <mergeCell ref="T20:V21"/>
    <mergeCell ref="P6:Q6"/>
    <mergeCell ref="B2:R3"/>
    <mergeCell ref="C6:F7"/>
    <mergeCell ref="I6:K6"/>
    <mergeCell ref="M6:N6"/>
    <mergeCell ref="M14:Q14"/>
    <mergeCell ref="P17:Q17"/>
    <mergeCell ref="M17:N17"/>
    <mergeCell ref="M19:Q19"/>
    <mergeCell ref="P20:Q20"/>
    <mergeCell ref="M20:N20"/>
    <mergeCell ref="P7:Q8"/>
    <mergeCell ref="B28:R29"/>
    <mergeCell ref="C11:F11"/>
    <mergeCell ref="C12:F13"/>
    <mergeCell ref="C17:D18"/>
    <mergeCell ref="E17:F18"/>
    <mergeCell ref="M13:Q13"/>
    <mergeCell ref="H13:K20"/>
    <mergeCell ref="H21:K22"/>
    <mergeCell ref="M21:N22"/>
    <mergeCell ref="P21:Q22"/>
    <mergeCell ref="M23:Q23"/>
    <mergeCell ref="M24:Q25"/>
    <mergeCell ref="P10:Q11"/>
    <mergeCell ref="P16:Q16"/>
    <mergeCell ref="M16:N16"/>
    <mergeCell ref="C25:D25"/>
    <mergeCell ref="E24:F24"/>
    <mergeCell ref="H6:H8"/>
    <mergeCell ref="O21:O22"/>
    <mergeCell ref="E25:F25"/>
    <mergeCell ref="C8:F9"/>
    <mergeCell ref="C20:F20"/>
    <mergeCell ref="C24:D24"/>
    <mergeCell ref="H10:H11"/>
    <mergeCell ref="C21:F22"/>
    <mergeCell ref="C16:D16"/>
    <mergeCell ref="E16:F16"/>
  </mergeCells>
  <conditionalFormatting sqref="H13:K20">
    <cfRule type="notContainsBlanks" dxfId="2" priority="3">
      <formula>LEN(TRIM(H13))&gt;0</formula>
    </cfRule>
  </conditionalFormatting>
  <conditionalFormatting sqref="H21:K22">
    <cfRule type="notContainsBlanks" dxfId="1" priority="2">
      <formula>LEN(TRIM(H21))&gt;0</formula>
    </cfRule>
  </conditionalFormatting>
  <conditionalFormatting sqref="M24:Q25">
    <cfRule type="expression" dxfId="0" priority="1">
      <formula>VALUE(LEFT(M24,1))&gt;0</formula>
    </cfRule>
  </conditionalFormatting>
  <dataValidations count="11">
    <dataValidation type="list" allowBlank="1" showInputMessage="1" showErrorMessage="1" errorTitle="Invalid Input" error="Day should be between 1 &amp; 31" sqref="I8 I11" xr:uid="{D5F530A7-BC11-47BC-9AD8-42EB8D33F41A}">
      <formula1>"1,2,3,4,5,6,7,8,9,10,11,12,13,14,15,16,17,18,19,20,21,22,23,24,25,26,27,28,29,30,31"</formula1>
    </dataValidation>
    <dataValidation type="list" allowBlank="1" showErrorMessage="1" errorTitle="Invaild Input" error="Month should be between 1 &amp; 12" sqref="J11 J8" xr:uid="{E481E990-6AF9-4088-9511-C00B60F661F5}">
      <formula1>"1,2,3,4,5,6,7,8,9,10,11,12"</formula1>
    </dataValidation>
    <dataValidation type="list" allowBlank="1" showInputMessage="1" showErrorMessage="1" sqref="C8" xr:uid="{7363C211-2153-4C6D-9426-159BFD33FEE8}">
      <formula1>"Outage,Individual Case"</formula1>
    </dataValidation>
    <dataValidation type="list" allowBlank="1" showInputMessage="1" showErrorMessage="1" sqref="M14" xr:uid="{C291A8A4-4F91-44F2-AD90-5C4B29721BA1}">
      <formula1>"Amount,Gigabytes"</formula1>
    </dataValidation>
    <dataValidation type="list" allowBlank="1" showInputMessage="1" showErrorMessage="1" sqref="C12" xr:uid="{D848E862-62E1-4D0A-BF72-929A8B97DAC6}">
      <formula1>IF(C8="Individual Case",Solving,Outage)</formula1>
    </dataValidation>
    <dataValidation type="list" allowBlank="1" showInputMessage="1" showErrorMessage="1" errorTitle="Invalid Input" error="Minutes should be between 0 &amp; 59" sqref="N8 N11" xr:uid="{88FFA945-103B-42CE-8C7C-7B62CF8D2231}">
      <formula1>"0,1,2,3,4,5,6,7,8,9,10,11,12,13,14,15,16,17,18,19,20,21,22,23,24,25,26,27,28,29,30,31,32,33,34,35,36,37,38,39,40,41,42,43,44,45,46,47,48,49,50,51,52,53,54,55,56,57,58,59"</formula1>
    </dataValidation>
    <dataValidation type="list" allowBlank="1" showInputMessage="1" showErrorMessage="1" errorTitle="Invalid Input" error="Hours should be between 0 &amp; 23" sqref="M8 M11" xr:uid="{5903F469-41C6-4FD7-B4E1-26809173BF79}">
      <formula1>"0,1,2,3,4,5,6,7,8,9,10,11,12,13,14,15,16,17,18,19,20,21,22,23"</formula1>
    </dataValidation>
    <dataValidation type="list" operator="greaterThan" allowBlank="1" showInputMessage="1" showErrorMessage="1" errorTitle="Invalid Value" error="Minimum Year are 2020" sqref="K8 K11" xr:uid="{0247576F-C630-42D6-8D79-F312608849C6}">
      <formula1>"2022,2023,2024,2025,2026,2027,2028,2029,2030"</formula1>
    </dataValidation>
    <dataValidation type="list" allowBlank="1" showErrorMessage="1" sqref="C21" xr:uid="{255CB308-54C0-43C0-AFEE-AF0D2DA62293}">
      <formula1>IF(C17="Yearly",Year_Plan,IF(C17="Monthly",Month_Plan,""))</formula1>
    </dataValidation>
    <dataValidation type="list" allowBlank="1" showInputMessage="1" showErrorMessage="1" sqref="C17" xr:uid="{1F8D474E-2BCB-4D0C-9347-DFEC4775D428}">
      <formula1>"Monthly,Yearly"</formula1>
    </dataValidation>
    <dataValidation type="list" allowBlank="1" showInputMessage="1" showErrorMessage="1" sqref="E17" xr:uid="{E2132EEE-6994-4ACC-909A-017D65185335}">
      <formula1>"New Price,Old Price"</formula1>
    </dataValidation>
  </dataValidations>
  <hyperlinks>
    <hyperlink ref="B28:D31" location="Result!A1" tooltip="Programmed By Ibrahim El-Dakroury" display="Result!A1" xr:uid="{D1F20622-ADB6-445D-87F1-CF0725F23C5A}"/>
    <hyperlink ref="B28:R29" location="Sheet1!A1" tooltip="By Ibrahim El-Dakroury" display="Sheet1!A1" xr:uid="{1FD88960-0CC8-47D2-81C9-8F3F32DBC426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lear">
                <anchor moveWithCells="1" sizeWithCells="1">
                  <from>
                    <xdr:col>6</xdr:col>
                    <xdr:colOff>142875</xdr:colOff>
                    <xdr:row>22</xdr:row>
                    <xdr:rowOff>180975</xdr:rowOff>
                  </from>
                  <to>
                    <xdr:col>10</xdr:col>
                    <xdr:colOff>666750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OpenLink">
                <anchor moveWithCells="1" sizeWithCells="1">
                  <from>
                    <xdr:col>19</xdr:col>
                    <xdr:colOff>304800</xdr:colOff>
                    <xdr:row>19</xdr:row>
                    <xdr:rowOff>19050</xdr:rowOff>
                  </from>
                  <to>
                    <xdr:col>21</xdr:col>
                    <xdr:colOff>1200150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F2524-B7F0-48E3-A79F-A9D78AA1D6ED}">
  <sheetPr codeName="Sheet2"/>
  <dimension ref="A1:AG76"/>
  <sheetViews>
    <sheetView topLeftCell="A31" workbookViewId="0">
      <selection activeCell="G41" sqref="G41"/>
    </sheetView>
  </sheetViews>
  <sheetFormatPr defaultRowHeight="15" x14ac:dyDescent="0.25"/>
  <cols>
    <col min="1" max="1" width="26.42578125" bestFit="1" customWidth="1"/>
    <col min="2" max="2" width="30.28515625" bestFit="1" customWidth="1"/>
    <col min="3" max="3" width="16.85546875" bestFit="1" customWidth="1"/>
    <col min="4" max="4" width="30.7109375" bestFit="1" customWidth="1"/>
    <col min="5" max="5" width="32.42578125" bestFit="1" customWidth="1"/>
    <col min="6" max="6" width="32.42578125" customWidth="1"/>
    <col min="7" max="7" width="19.140625" bestFit="1" customWidth="1"/>
    <col min="8" max="8" width="6" customWidth="1"/>
    <col min="9" max="14" width="27.42578125" customWidth="1"/>
    <col min="15" max="15" width="14.7109375" bestFit="1" customWidth="1"/>
    <col min="16" max="16" width="27.42578125" customWidth="1"/>
    <col min="17" max="17" width="6.7109375" bestFit="1" customWidth="1"/>
    <col min="18" max="18" width="41.28515625" bestFit="1" customWidth="1"/>
    <col min="19" max="19" width="50.85546875" bestFit="1" customWidth="1"/>
    <col min="20" max="20" width="41.28515625" bestFit="1" customWidth="1"/>
    <col min="21" max="21" width="14.28515625" customWidth="1"/>
    <col min="22" max="22" width="40.42578125" bestFit="1" customWidth="1"/>
    <col min="23" max="23" width="21.42578125" style="36" customWidth="1"/>
    <col min="24" max="24" width="14.28515625" customWidth="1"/>
    <col min="27" max="27" width="14.28515625" bestFit="1" customWidth="1"/>
    <col min="35" max="35" width="15.7109375" bestFit="1" customWidth="1"/>
  </cols>
  <sheetData>
    <row r="1" spans="1:33" ht="15.75" thickBot="1" x14ac:dyDescent="0.3">
      <c r="A1" s="2" t="s">
        <v>9</v>
      </c>
      <c r="B1" s="3" t="s">
        <v>10</v>
      </c>
      <c r="C1" s="3" t="s">
        <v>11</v>
      </c>
      <c r="D1" s="3" t="s">
        <v>12</v>
      </c>
      <c r="E1" s="11" t="s">
        <v>70</v>
      </c>
      <c r="F1" s="12" t="s">
        <v>71</v>
      </c>
      <c r="G1" s="48" t="s">
        <v>96</v>
      </c>
      <c r="I1" s="2" t="s">
        <v>9</v>
      </c>
      <c r="J1" s="3" t="s">
        <v>10</v>
      </c>
      <c r="K1" s="3" t="s">
        <v>11</v>
      </c>
      <c r="L1" s="3" t="s">
        <v>12</v>
      </c>
      <c r="M1" s="11" t="s">
        <v>70</v>
      </c>
      <c r="N1" s="12" t="s">
        <v>71</v>
      </c>
      <c r="O1" s="48" t="s">
        <v>96</v>
      </c>
      <c r="Q1" s="8" t="s">
        <v>58</v>
      </c>
      <c r="R1" s="8" t="s">
        <v>59</v>
      </c>
      <c r="S1" s="8" t="s">
        <v>56</v>
      </c>
      <c r="T1" s="8" t="s">
        <v>93</v>
      </c>
      <c r="W1" s="36" t="s">
        <v>64</v>
      </c>
      <c r="Z1" t="s">
        <v>57</v>
      </c>
      <c r="AD1" s="182" t="s">
        <v>56</v>
      </c>
      <c r="AE1" s="183" t="s">
        <v>49</v>
      </c>
      <c r="AF1" s="183"/>
      <c r="AG1" s="182" t="s">
        <v>51</v>
      </c>
    </row>
    <row r="2" spans="1:33" ht="16.5" thickBot="1" x14ac:dyDescent="0.3">
      <c r="A2" s="9" t="s">
        <v>37</v>
      </c>
      <c r="B2" s="9">
        <v>70</v>
      </c>
      <c r="C2" s="9">
        <v>79.8</v>
      </c>
      <c r="D2" s="9">
        <v>20</v>
      </c>
      <c r="E2" s="9">
        <v>90</v>
      </c>
      <c r="F2" s="13">
        <v>102.6</v>
      </c>
      <c r="G2" s="49">
        <v>0</v>
      </c>
      <c r="I2" s="15" t="s">
        <v>72</v>
      </c>
      <c r="J2" s="18">
        <v>2415</v>
      </c>
      <c r="K2" s="15">
        <v>2753.1</v>
      </c>
      <c r="L2" s="18">
        <v>3000</v>
      </c>
      <c r="M2" s="18">
        <v>3220</v>
      </c>
      <c r="N2" s="20">
        <v>3670.8</v>
      </c>
      <c r="O2" s="50">
        <v>5</v>
      </c>
      <c r="Q2" t="str">
        <f t="shared" ref="Q2:Q29" si="0">IF(R2=FALSE,"False","True")</f>
        <v>False</v>
      </c>
      <c r="R2" t="b">
        <f>IF(AND(Home!C8="Outage",Home!C12&lt;&gt;"",Data!W7&lt;1,Data!W7&gt;=0.5),T2)</f>
        <v>0</v>
      </c>
      <c r="S2" t="s">
        <v>83</v>
      </c>
      <c r="T2" t="str">
        <f>"Compensate Customer On Spot With "&amp;Home!P21&amp;" Gigabytes"&amp;CHAR(10)&amp;"+"&amp;CHAR(10)&amp;Home!M24</f>
        <v>Compensate Customer On Spot With 0 Gigabytes
+
0 Extra Gigabytes</v>
      </c>
      <c r="W2" s="7">
        <f ca="1">NOW()</f>
        <v>45598.799529282405</v>
      </c>
      <c r="Z2" t="s">
        <v>101</v>
      </c>
      <c r="AD2" s="182"/>
      <c r="AE2" s="6" t="s">
        <v>44</v>
      </c>
      <c r="AF2" s="6" t="s">
        <v>12</v>
      </c>
      <c r="AG2" s="182"/>
    </row>
    <row r="3" spans="1:33" ht="15.75" x14ac:dyDescent="0.25">
      <c r="A3" s="9" t="s">
        <v>13</v>
      </c>
      <c r="B3" s="9">
        <v>75</v>
      </c>
      <c r="C3" s="9">
        <v>85.5</v>
      </c>
      <c r="D3" s="9">
        <v>30</v>
      </c>
      <c r="E3" s="9">
        <v>100</v>
      </c>
      <c r="F3" s="13">
        <v>114</v>
      </c>
      <c r="G3" s="49">
        <v>0</v>
      </c>
      <c r="I3" s="15" t="s">
        <v>73</v>
      </c>
      <c r="J3" s="18">
        <v>3910</v>
      </c>
      <c r="K3" s="15">
        <v>4457.3999999999996</v>
      </c>
      <c r="L3" s="18">
        <v>4800</v>
      </c>
      <c r="M3" s="18">
        <v>5060</v>
      </c>
      <c r="N3" s="20">
        <v>5768.4</v>
      </c>
      <c r="O3" s="50">
        <v>10</v>
      </c>
      <c r="Q3" t="str">
        <f t="shared" ca="1" si="0"/>
        <v>False</v>
      </c>
      <c r="R3" t="b">
        <f ca="1">IF(AND(Home!C8="Outage",Data!W7&gt;=1,Data!W4&lt;2,Home!C12="Major Fault-Outage-Maintenance"),T3)</f>
        <v>0</v>
      </c>
      <c r="S3" t="s">
        <v>131</v>
      </c>
      <c r="T3" t="str">
        <f ca="1">"Inform Customer to Wait "&amp;Data!W6&amp;" for Automtic Concession"</f>
        <v>Inform Customer to Wait 0 for Automtic Concession</v>
      </c>
      <c r="W3" s="36">
        <f>IF(AND(Home!C8="Outage",Data!W7&gt;=1),TEXT(W2-Home!P10,"H")&amp;" Hours &amp; "&amp;TEXT(W2-Home!P10,"M")&amp;" Minutes",0)</f>
        <v>0</v>
      </c>
      <c r="Z3" t="s">
        <v>102</v>
      </c>
      <c r="AD3" s="5" t="s">
        <v>45</v>
      </c>
      <c r="AE3" s="5">
        <v>12</v>
      </c>
      <c r="AF3" s="5">
        <v>20</v>
      </c>
      <c r="AG3" s="5" t="s">
        <v>52</v>
      </c>
    </row>
    <row r="4" spans="1:33" ht="15.75" x14ac:dyDescent="0.25">
      <c r="A4" s="9" t="s">
        <v>14</v>
      </c>
      <c r="B4" s="9">
        <v>110</v>
      </c>
      <c r="C4" s="9">
        <v>125.4</v>
      </c>
      <c r="D4" s="9">
        <v>100</v>
      </c>
      <c r="E4" s="9">
        <v>150</v>
      </c>
      <c r="F4" s="13">
        <v>171</v>
      </c>
      <c r="G4" s="49">
        <v>0</v>
      </c>
      <c r="I4" s="15" t="s">
        <v>74</v>
      </c>
      <c r="J4" s="18">
        <v>5500</v>
      </c>
      <c r="K4" s="15" t="s">
        <v>80</v>
      </c>
      <c r="L4" s="18">
        <v>7200</v>
      </c>
      <c r="M4" s="18">
        <v>7150</v>
      </c>
      <c r="N4" s="20">
        <v>8151</v>
      </c>
      <c r="O4" s="50">
        <v>10</v>
      </c>
      <c r="Q4" t="str">
        <f t="shared" ca="1" si="0"/>
        <v>False</v>
      </c>
      <c r="R4" t="b">
        <f ca="1">IF(AND(Home!C8="Outage",Home!C12&lt;&gt;"",Data!W7&gt;=1,Data!W4&gt;=2,Home!C12="Major Fault-Outage-Maintenance",Home!M14=Data!AF2,Home!P21&lt;=Data!AF3),T4)</f>
        <v>0</v>
      </c>
      <c r="S4" t="s">
        <v>132</v>
      </c>
      <c r="T4" t="str">
        <f>"Compensate Customer On Spot With "&amp;TEXT(Home!P21,0)&amp;" "&amp;Home!P20&amp;CHAR(10)&amp;"+"&amp;CHAR(10)&amp;Home!M24</f>
        <v>Compensate Customer On Spot With 0 Gigabytes
+
0 Extra Gigabytes</v>
      </c>
      <c r="W4" s="36">
        <f ca="1">W2-Home!P10</f>
        <v>33.799529282405274</v>
      </c>
      <c r="Z4" t="s">
        <v>97</v>
      </c>
      <c r="AD4" s="5" t="s">
        <v>46</v>
      </c>
      <c r="AE4" s="5">
        <v>40</v>
      </c>
      <c r="AF4" s="5">
        <v>50</v>
      </c>
      <c r="AG4" s="5" t="s">
        <v>53</v>
      </c>
    </row>
    <row r="5" spans="1:33" ht="15.75" x14ac:dyDescent="0.25">
      <c r="A5" s="9" t="s">
        <v>15</v>
      </c>
      <c r="B5" s="9">
        <v>120</v>
      </c>
      <c r="C5" s="9">
        <v>136.80000000000001</v>
      </c>
      <c r="D5" s="9">
        <v>140</v>
      </c>
      <c r="E5" s="9">
        <v>160</v>
      </c>
      <c r="F5" s="13">
        <v>182.4</v>
      </c>
      <c r="G5" s="49">
        <v>3</v>
      </c>
      <c r="I5" s="15" t="s">
        <v>75</v>
      </c>
      <c r="J5" s="18">
        <v>8000</v>
      </c>
      <c r="K5" s="15">
        <v>9120</v>
      </c>
      <c r="L5" s="18">
        <v>12000</v>
      </c>
      <c r="M5" s="18">
        <v>10500</v>
      </c>
      <c r="N5" s="21">
        <v>11970</v>
      </c>
      <c r="O5" s="50">
        <v>10</v>
      </c>
      <c r="Q5" t="str">
        <f t="shared" ca="1" si="0"/>
        <v>False</v>
      </c>
      <c r="R5" t="b">
        <f ca="1">IF(AND(Home!C8="Outage",Home!C12&lt;&gt;"",Data!W7&gt;=1,Data!W4&gt;=2,Home!C12="Major Fault-Outage-Maintenance",Home!M14=Home!P20,AND(Home!P21&gt;Data!AF3,Home!P21&lt;=Data!AF4)),T5)</f>
        <v>0</v>
      </c>
      <c r="S5" t="s">
        <v>133</v>
      </c>
      <c r="T5" t="str">
        <f>"Send To TL With SLA "&amp;Data!AG4</f>
        <v>Send To TL With SLA 30 Minutes</v>
      </c>
      <c r="W5" s="36">
        <f ca="1">2-W4</f>
        <v>-31.799529282405274</v>
      </c>
      <c r="Z5" t="s">
        <v>98</v>
      </c>
      <c r="AD5" s="5" t="s">
        <v>47</v>
      </c>
      <c r="AE5" s="5">
        <v>80</v>
      </c>
      <c r="AF5" s="5">
        <v>100</v>
      </c>
      <c r="AG5" s="5" t="s">
        <v>54</v>
      </c>
    </row>
    <row r="6" spans="1:33" ht="16.5" thickBot="1" x14ac:dyDescent="0.3">
      <c r="A6" s="9" t="s">
        <v>16</v>
      </c>
      <c r="B6" s="9">
        <v>170</v>
      </c>
      <c r="C6" s="9">
        <v>193.8</v>
      </c>
      <c r="D6" s="9">
        <v>200</v>
      </c>
      <c r="E6" s="9">
        <v>225</v>
      </c>
      <c r="F6" s="13">
        <v>256.5</v>
      </c>
      <c r="G6" s="49">
        <v>5</v>
      </c>
      <c r="I6" s="16" t="s">
        <v>77</v>
      </c>
      <c r="J6" s="18">
        <v>3565</v>
      </c>
      <c r="K6" s="15">
        <v>4064.1</v>
      </c>
      <c r="L6" s="18">
        <v>3000</v>
      </c>
      <c r="M6" s="18">
        <v>4715</v>
      </c>
      <c r="N6" s="20">
        <v>5375.1</v>
      </c>
      <c r="O6" s="50">
        <v>10</v>
      </c>
      <c r="Q6" t="str">
        <f t="shared" ca="1" si="0"/>
        <v>False</v>
      </c>
      <c r="R6" t="b">
        <f ca="1">IF(AND(Home!C8="Outage",Data!W7&gt;=1,Data!W4&gt;=2,Home!C12="Major Fault-Outage-Maintenance",Home!M14=Home!P20,AND(Home!P21&gt;Data!AF4,Home!P21&lt;=Data!AF5)),T6)</f>
        <v>0</v>
      </c>
      <c r="S6" t="s">
        <v>134</v>
      </c>
      <c r="T6" t="str">
        <f>"Open Concession TT With SLA "&amp;Data!AG5</f>
        <v>Open Concession TT With SLA 1 Hour</v>
      </c>
      <c r="V6" t="s">
        <v>95</v>
      </c>
      <c r="W6" s="36">
        <f ca="1">IFERROR(IF(W5&lt;2,TEXT(W5,"[H]")&amp;" Hours &amp; "&amp;TEXT(MINUTE(W5),"0")&amp;" Minutes",0),0)</f>
        <v>0</v>
      </c>
      <c r="Z6" t="s">
        <v>99</v>
      </c>
      <c r="AD6" s="5" t="s">
        <v>48</v>
      </c>
      <c r="AE6" s="5"/>
      <c r="AF6" s="5"/>
      <c r="AG6" s="5" t="s">
        <v>55</v>
      </c>
    </row>
    <row r="7" spans="1:33" ht="16.5" thickBot="1" x14ac:dyDescent="0.3">
      <c r="A7" s="9" t="s">
        <v>17</v>
      </c>
      <c r="B7" s="9">
        <v>210</v>
      </c>
      <c r="C7" s="9">
        <v>239.4</v>
      </c>
      <c r="D7" s="9">
        <v>250</v>
      </c>
      <c r="E7" s="9">
        <v>280</v>
      </c>
      <c r="F7" s="13">
        <v>319.2</v>
      </c>
      <c r="G7" s="49">
        <v>5</v>
      </c>
      <c r="I7" s="15" t="s">
        <v>76</v>
      </c>
      <c r="J7" s="18">
        <v>6600</v>
      </c>
      <c r="K7" s="15">
        <v>7524</v>
      </c>
      <c r="L7" s="18">
        <v>7200</v>
      </c>
      <c r="M7" s="18">
        <v>8800</v>
      </c>
      <c r="N7" s="20">
        <v>10032</v>
      </c>
      <c r="O7" s="50">
        <v>10</v>
      </c>
      <c r="Q7" t="str">
        <f t="shared" ca="1" si="0"/>
        <v>False</v>
      </c>
      <c r="R7" t="b">
        <f ca="1">IF(AND(Home!C8="Outage",Home!C12&lt;&gt;"",Data!W7&gt;=1,Data!W4&gt;=2,Home!C12="Major Fault-Outage-Maintenance",Home!M14=Home!P20,Home!P21&gt;Data!AF5),T7)</f>
        <v>0</v>
      </c>
      <c r="S7" t="s">
        <v>135</v>
      </c>
      <c r="T7" t="str">
        <f>"Open Concession TT With SLA "&amp;Data!AG6</f>
        <v>Open Concession TT With SLA 2 Hours</v>
      </c>
      <c r="V7" t="s">
        <v>94</v>
      </c>
      <c r="W7" s="1">
        <f>IFERROR(IF(Home!M17="",IF(Home!P10-Home!P7&lt;1,Home!P10-Home!P7,ROUNDUP(Home!P10-Home!P7,0)),Home!M17),0)</f>
        <v>0</v>
      </c>
      <c r="Z7" t="s">
        <v>100</v>
      </c>
    </row>
    <row r="8" spans="1:33" ht="15.75" x14ac:dyDescent="0.25">
      <c r="A8" s="9" t="s">
        <v>38</v>
      </c>
      <c r="B8" s="9">
        <v>340</v>
      </c>
      <c r="C8" s="9">
        <v>387.6</v>
      </c>
      <c r="D8" s="9">
        <v>400</v>
      </c>
      <c r="E8" s="9">
        <v>440</v>
      </c>
      <c r="F8" s="13">
        <v>501.6</v>
      </c>
      <c r="G8" s="49">
        <v>10</v>
      </c>
      <c r="I8" s="15" t="s">
        <v>120</v>
      </c>
      <c r="J8" s="18">
        <v>9000</v>
      </c>
      <c r="K8" s="15">
        <v>10260</v>
      </c>
      <c r="L8" s="18">
        <v>12000</v>
      </c>
      <c r="M8" s="18">
        <v>12000</v>
      </c>
      <c r="N8" s="20">
        <v>13680</v>
      </c>
      <c r="O8" s="50">
        <v>10</v>
      </c>
      <c r="Q8" t="str">
        <f t="shared" ca="1" si="0"/>
        <v>False</v>
      </c>
      <c r="R8" t="b">
        <f ca="1">IF(AND(Home!C8="Outage",Home!C12&lt;&gt;"",Data!W7&gt;=1,Data!W4&gt;=2,Home!C12="Major Fault-Outage-Maintenance",Home!M14=Data!AE2,Home!M21&lt;=Data!AE3),T8)</f>
        <v>0</v>
      </c>
      <c r="S8" t="s">
        <v>136</v>
      </c>
      <c r="T8" t="str">
        <f>"Compensate Customer On Spot With "&amp;TEXT(Home!M21,"0.00")&amp;" EGP"&amp;CHAR(10)&amp;"+"&amp;CHAR(10)&amp;Home!M24</f>
        <v>Compensate Customer On Spot With  EGP
+
0 Extra Gigabytes</v>
      </c>
      <c r="Z8" t="s">
        <v>122</v>
      </c>
    </row>
    <row r="9" spans="1:33" ht="15.75" x14ac:dyDescent="0.25">
      <c r="A9" s="9" t="s">
        <v>18</v>
      </c>
      <c r="B9" s="9">
        <v>500</v>
      </c>
      <c r="C9" s="9">
        <v>570</v>
      </c>
      <c r="D9" s="9">
        <v>600</v>
      </c>
      <c r="E9" s="9">
        <v>650</v>
      </c>
      <c r="F9" s="13">
        <v>741</v>
      </c>
      <c r="G9" s="49">
        <v>10</v>
      </c>
      <c r="I9" s="15" t="s">
        <v>78</v>
      </c>
      <c r="J9" s="18">
        <v>4715</v>
      </c>
      <c r="K9" s="15">
        <v>5375.1</v>
      </c>
      <c r="L9" s="18">
        <v>3000</v>
      </c>
      <c r="M9" s="18">
        <v>6210</v>
      </c>
      <c r="N9" s="20">
        <v>7079.4</v>
      </c>
      <c r="O9" s="50">
        <v>10</v>
      </c>
      <c r="Q9" t="str">
        <f t="shared" ca="1" si="0"/>
        <v>False</v>
      </c>
      <c r="R9" t="b">
        <f ca="1">IF(AND(Home!C8="Outage",Data!W7&gt;=1,Data!W4&gt;=2,Home!C12="Major Fault-Outage-Maintenance",Home!M14=Home!M20,AND(Home!M21&gt;Data!AE3,Home!M21&lt;=Data!AE4)),T9)</f>
        <v>0</v>
      </c>
      <c r="S9" t="s">
        <v>137</v>
      </c>
      <c r="T9" t="str">
        <f>"Send To TL With SLA "&amp;Data!AG4</f>
        <v>Send To TL With SLA 30 Minutes</v>
      </c>
    </row>
    <row r="10" spans="1:33" ht="15.75" x14ac:dyDescent="0.25">
      <c r="A10" s="9" t="s">
        <v>19</v>
      </c>
      <c r="B10" s="9">
        <v>120</v>
      </c>
      <c r="C10" s="9">
        <v>136.80000000000001</v>
      </c>
      <c r="D10" s="9">
        <v>140</v>
      </c>
      <c r="E10" s="9">
        <v>160</v>
      </c>
      <c r="F10" s="13">
        <v>182.4</v>
      </c>
      <c r="G10" s="49">
        <v>3</v>
      </c>
      <c r="I10" s="15" t="s">
        <v>79</v>
      </c>
      <c r="J10" s="18">
        <v>7700</v>
      </c>
      <c r="K10" s="15">
        <v>8778</v>
      </c>
      <c r="L10" s="18">
        <v>7200</v>
      </c>
      <c r="M10" s="18">
        <v>10450</v>
      </c>
      <c r="N10" s="20">
        <v>11913</v>
      </c>
      <c r="O10" s="50">
        <v>10</v>
      </c>
      <c r="Q10" t="str">
        <f t="shared" ca="1" si="0"/>
        <v>False</v>
      </c>
      <c r="R10" t="b">
        <f ca="1">IF(AND(Home!C8="Outage",Home!C12&lt;&gt;"",Data!W7&gt;=1,Data!W4&gt;=2,Home!C12="Major Fault-Outage-Maintenance",Home!M14=Home!M20,AND(Home!M21&gt;Data!AE4,Home!M21&lt;=Data!AE5)),T10)</f>
        <v>0</v>
      </c>
      <c r="S10" t="s">
        <v>138</v>
      </c>
      <c r="T10" t="str">
        <f>"Open Concession TT With SLA "&amp;Data!AG5</f>
        <v>Open Concession TT With SLA 1 Hour</v>
      </c>
    </row>
    <row r="11" spans="1:33" ht="16.5" thickBot="1" x14ac:dyDescent="0.3">
      <c r="A11" s="9" t="s">
        <v>20</v>
      </c>
      <c r="B11" s="9">
        <v>170</v>
      </c>
      <c r="C11" s="9">
        <v>193.8</v>
      </c>
      <c r="D11" s="9">
        <v>200</v>
      </c>
      <c r="E11" s="9">
        <v>225</v>
      </c>
      <c r="F11" s="13">
        <v>256.5</v>
      </c>
      <c r="G11" s="49">
        <v>5</v>
      </c>
      <c r="I11" s="17" t="s">
        <v>121</v>
      </c>
      <c r="J11" s="19">
        <v>9999</v>
      </c>
      <c r="K11" s="17">
        <v>11398.86</v>
      </c>
      <c r="L11" s="19">
        <v>12000</v>
      </c>
      <c r="M11" s="19">
        <v>13500</v>
      </c>
      <c r="N11" s="22">
        <v>15390</v>
      </c>
      <c r="O11" s="50">
        <v>10</v>
      </c>
      <c r="Q11" t="str">
        <f t="shared" ca="1" si="0"/>
        <v>False</v>
      </c>
      <c r="R11" t="b">
        <f ca="1">IF(AND(Home!C8="Outage",Data!W7&gt;=1,Data!W4&gt;=2,Home!C12="Major Fault-Outage-Maintenance",Home!M14=Home!M20,Home!M21&gt;Data!AE5),T11)</f>
        <v>0</v>
      </c>
      <c r="S11" t="s">
        <v>139</v>
      </c>
      <c r="T11" t="str">
        <f>"Open Concession TT With SLA "&amp;Data!AG6</f>
        <v>Open Concession TT With SLA 2 Hours</v>
      </c>
      <c r="W11" s="36">
        <f>IFERROR(IF(Home!M17="",IF(Home!P10-Home!P7&lt;1,Home!P10-Home!P7,ROUNDUP(Home!P10-Home!P7,0)),Home!M17),"")</f>
        <v>0</v>
      </c>
    </row>
    <row r="12" spans="1:33" x14ac:dyDescent="0.25">
      <c r="A12" s="9" t="s">
        <v>21</v>
      </c>
      <c r="B12" s="9">
        <v>210</v>
      </c>
      <c r="C12" s="9">
        <v>239.4</v>
      </c>
      <c r="D12" s="9">
        <v>250</v>
      </c>
      <c r="E12" s="9">
        <v>280</v>
      </c>
      <c r="F12" s="13">
        <v>319.2</v>
      </c>
      <c r="G12" s="49">
        <v>5</v>
      </c>
      <c r="I12" s="9"/>
      <c r="J12" s="4"/>
      <c r="K12" s="4"/>
      <c r="L12" s="9"/>
      <c r="M12" s="9"/>
      <c r="N12" s="13"/>
      <c r="O12" s="47"/>
      <c r="Q12" t="str">
        <f t="shared" si="0"/>
        <v>False</v>
      </c>
      <c r="R12" t="b">
        <f>IF(AND(Home!C8="Individual Case",Data!W7&lt;1,Data!W7&gt;=0.5,Home!C12&lt;&gt;""),T12)</f>
        <v>0</v>
      </c>
      <c r="S12" t="s">
        <v>84</v>
      </c>
      <c r="T12" t="str">
        <f>"Compensate Customer On Spot With "&amp;Home!P21&amp;" Gigabytes"&amp;CHAR(10)&amp;"+"&amp;CHAR(10)&amp;Home!M24</f>
        <v>Compensate Customer On Spot With 0 Gigabytes
+
0 Extra Gigabytes</v>
      </c>
      <c r="W12" s="36">
        <f ca="1">IFERROR(IF((2-W4)&lt;2,TEXT((2-W4),"H")&amp;" Hours &amp;"&amp;TEXT((2-W4),"M")&amp;" Minutes",0),0)</f>
        <v>0</v>
      </c>
    </row>
    <row r="13" spans="1:33" x14ac:dyDescent="0.25">
      <c r="A13" s="9" t="s">
        <v>66</v>
      </c>
      <c r="B13" s="9">
        <v>340</v>
      </c>
      <c r="C13" s="9">
        <v>387.6</v>
      </c>
      <c r="D13" s="9">
        <v>400</v>
      </c>
      <c r="E13" s="9">
        <v>440</v>
      </c>
      <c r="F13" s="13">
        <v>501.6</v>
      </c>
      <c r="G13" s="49">
        <v>10</v>
      </c>
      <c r="I13" s="9"/>
      <c r="J13" s="4"/>
      <c r="K13" s="4"/>
      <c r="L13" s="9"/>
      <c r="M13" s="9"/>
      <c r="N13" s="13"/>
      <c r="O13" s="47"/>
      <c r="Q13" t="str">
        <f t="shared" si="0"/>
        <v>False</v>
      </c>
      <c r="R13" t="b">
        <f>IF(AND(Home!C8="Individual Case",Data!W7&gt;=1,Home!M14=Data!AF2,Home!P21&lt;=Data!AF3,Home!C12&lt;&gt;""),T13)</f>
        <v>0</v>
      </c>
      <c r="S13" t="s">
        <v>85</v>
      </c>
      <c r="T13" t="str">
        <f>"Compensate Customer On Spot With "&amp;TEXT(Home!P21,0)&amp;" "&amp;Home!P20&amp;CHAR(10)&amp;"+"&amp;CHAR(10)&amp;Home!M24</f>
        <v>Compensate Customer On Spot With 0 Gigabytes
+
0 Extra Gigabytes</v>
      </c>
    </row>
    <row r="14" spans="1:33" x14ac:dyDescent="0.25">
      <c r="A14" s="9" t="s">
        <v>22</v>
      </c>
      <c r="B14" s="9">
        <v>500</v>
      </c>
      <c r="C14" s="9">
        <v>570</v>
      </c>
      <c r="D14" s="9">
        <v>600</v>
      </c>
      <c r="E14" s="9">
        <v>650</v>
      </c>
      <c r="F14" s="13">
        <v>741</v>
      </c>
      <c r="G14" s="49">
        <v>10</v>
      </c>
      <c r="I14" s="9"/>
      <c r="J14" s="4"/>
      <c r="K14" s="4"/>
      <c r="L14" s="9"/>
      <c r="M14" s="9"/>
      <c r="N14" s="13"/>
      <c r="O14" s="47"/>
      <c r="Q14" t="str">
        <f t="shared" si="0"/>
        <v>False</v>
      </c>
      <c r="R14" t="b">
        <f>IF(AND(Home!C8="Individual Case",Data!W7&gt;=1,Home!C12&lt;&gt;"",Home!M14=Home!P20,AND(Home!P21&gt;Data!AF3,Home!P21&lt;=Data!AF4)),T14)</f>
        <v>0</v>
      </c>
      <c r="S14" t="s">
        <v>86</v>
      </c>
      <c r="T14" t="str">
        <f>"Send To TL With SLA "&amp;Data!AG4</f>
        <v>Send To TL With SLA 30 Minutes</v>
      </c>
    </row>
    <row r="15" spans="1:33" x14ac:dyDescent="0.25">
      <c r="A15" s="9" t="s">
        <v>23</v>
      </c>
      <c r="B15" s="9">
        <v>120</v>
      </c>
      <c r="C15" s="9">
        <v>136.80000000000001</v>
      </c>
      <c r="D15" s="9">
        <v>140</v>
      </c>
      <c r="E15" s="9">
        <v>160</v>
      </c>
      <c r="F15" s="13">
        <v>182.4</v>
      </c>
      <c r="G15" s="49">
        <v>3</v>
      </c>
      <c r="Q15" t="str">
        <f t="shared" si="0"/>
        <v>False</v>
      </c>
      <c r="R15" t="b">
        <f>IF(AND(Home!C8="Individual Case",Data!W7&gt;=1,Home!C12&lt;&gt;"",Home!M14=Home!P20,AND(Home!P21&gt;Data!AF4,Home!P21&lt;=Data!AF5)),T15)</f>
        <v>0</v>
      </c>
      <c r="S15" t="s">
        <v>87</v>
      </c>
      <c r="T15" t="str">
        <f>"Open Concession TT With SLA "&amp;Data!AG5</f>
        <v>Open Concession TT With SLA 1 Hour</v>
      </c>
      <c r="W15" s="36">
        <f ca="1">NOW()-Home!P10</f>
        <v>33.799529282405274</v>
      </c>
    </row>
    <row r="16" spans="1:33" x14ac:dyDescent="0.25">
      <c r="A16" s="9" t="s">
        <v>24</v>
      </c>
      <c r="B16" s="9">
        <v>170</v>
      </c>
      <c r="C16" s="9">
        <v>193.8</v>
      </c>
      <c r="D16" s="9">
        <v>200</v>
      </c>
      <c r="E16" s="9">
        <v>225</v>
      </c>
      <c r="F16" s="13">
        <v>256.5</v>
      </c>
      <c r="G16" s="49">
        <v>5</v>
      </c>
      <c r="Q16" t="str">
        <f t="shared" si="0"/>
        <v>False</v>
      </c>
      <c r="R16" t="b">
        <f>IF(AND(Home!C8="Individual Case",Data!W7&gt;=1,Home!C12&lt;&gt;"",Home!M14=Home!P20,Home!P21&gt;Data!AF5),T16)</f>
        <v>0</v>
      </c>
      <c r="S16" t="s">
        <v>88</v>
      </c>
      <c r="T16" t="str">
        <f>"Open Concession TT With SLA "&amp;Data!AG6</f>
        <v>Open Concession TT With SLA 2 Hours</v>
      </c>
    </row>
    <row r="17" spans="1:20" ht="15.75" x14ac:dyDescent="0.25">
      <c r="A17" s="9" t="s">
        <v>25</v>
      </c>
      <c r="B17" s="9">
        <v>210</v>
      </c>
      <c r="C17" s="9">
        <v>239.4</v>
      </c>
      <c r="D17" s="9">
        <v>250</v>
      </c>
      <c r="E17" s="9">
        <v>280</v>
      </c>
      <c r="F17" s="13">
        <v>319.2</v>
      </c>
      <c r="G17" s="49">
        <v>5</v>
      </c>
      <c r="J17" s="18"/>
      <c r="K17" s="15"/>
      <c r="Q17" t="str">
        <f t="shared" si="0"/>
        <v>False</v>
      </c>
      <c r="R17" t="b">
        <f>IF(AND(Home!C8="Individual Case",Data!W7&gt;=1,Home!C12&lt;&gt;"",Home!M14=Data!AE2,Home!M21&lt;=Data!AE3),T17)</f>
        <v>0</v>
      </c>
      <c r="S17" t="s">
        <v>89</v>
      </c>
      <c r="T17" t="str">
        <f>"Compensate Customer On Spot With "&amp;TEXT(Home!M21,"0.00")&amp;" EGP"&amp;CHAR(10)&amp;"+"&amp;CHAR(10)&amp;Home!M24</f>
        <v>Compensate Customer On Spot With  EGP
+
0 Extra Gigabytes</v>
      </c>
    </row>
    <row r="18" spans="1:20" ht="15.75" x14ac:dyDescent="0.25">
      <c r="A18" s="9" t="s">
        <v>67</v>
      </c>
      <c r="B18" s="9">
        <v>340</v>
      </c>
      <c r="C18" s="9">
        <v>387.6</v>
      </c>
      <c r="D18" s="9">
        <v>400</v>
      </c>
      <c r="E18" s="9">
        <v>440</v>
      </c>
      <c r="F18" s="13">
        <v>501.6</v>
      </c>
      <c r="G18" s="49">
        <v>10</v>
      </c>
      <c r="J18" s="18"/>
      <c r="K18" s="15"/>
      <c r="Q18" t="str">
        <f t="shared" si="0"/>
        <v>False</v>
      </c>
      <c r="R18" t="b">
        <f>IF(AND(Home!C8="Individual Case",Data!W7&gt;=1,Home!C12&lt;&gt;"",Home!M14=Home!M20,AND(Home!M21&gt;Data!AE3,Home!M21&lt;=Data!AE4)),T18)</f>
        <v>0</v>
      </c>
      <c r="S18" t="s">
        <v>90</v>
      </c>
      <c r="T18" t="str">
        <f>"Send To TL With SLA "&amp;Data!AG4</f>
        <v>Send To TL With SLA 30 Minutes</v>
      </c>
    </row>
    <row r="19" spans="1:20" ht="15.75" x14ac:dyDescent="0.25">
      <c r="A19" s="9" t="s">
        <v>26</v>
      </c>
      <c r="B19" s="9">
        <v>500</v>
      </c>
      <c r="C19" s="9">
        <v>570</v>
      </c>
      <c r="D19" s="9">
        <v>600</v>
      </c>
      <c r="E19" s="9">
        <v>650</v>
      </c>
      <c r="F19" s="13">
        <v>741</v>
      </c>
      <c r="G19" s="49">
        <v>10</v>
      </c>
      <c r="J19" s="18"/>
      <c r="K19" s="15"/>
      <c r="Q19" t="str">
        <f t="shared" si="0"/>
        <v>False</v>
      </c>
      <c r="R19" t="b">
        <f>IF(AND(Home!C8="Individual Case",Data!W7&gt;=1,Home!C12&lt;&gt;"",Home!M14=Home!M20,AND(Home!M21&gt;Data!AE4,Home!M21&lt;=Data!AE5)),T19)</f>
        <v>0</v>
      </c>
      <c r="S19" t="s">
        <v>91</v>
      </c>
      <c r="T19" t="str">
        <f>"Open Concession TT With SLA "&amp;Data!AG5</f>
        <v>Open Concession TT With SLA 1 Hour</v>
      </c>
    </row>
    <row r="20" spans="1:20" ht="15.75" x14ac:dyDescent="0.25">
      <c r="A20" s="9" t="s">
        <v>27</v>
      </c>
      <c r="B20" s="9">
        <v>220</v>
      </c>
      <c r="C20" s="9">
        <v>250.8</v>
      </c>
      <c r="D20" s="9">
        <v>140</v>
      </c>
      <c r="E20" s="9">
        <v>290</v>
      </c>
      <c r="F20" s="13">
        <v>330.6</v>
      </c>
      <c r="G20" s="49">
        <v>3</v>
      </c>
      <c r="J20" s="18"/>
      <c r="K20" s="15"/>
      <c r="Q20" t="str">
        <f t="shared" si="0"/>
        <v>False</v>
      </c>
      <c r="R20" t="b">
        <f>IF(AND(Home!C8="Individual Case",Data!W7&gt;=1,Home!C12&lt;&gt;"",Home!M14=Home!M20,Home!M21&gt;Data!AE5),T20)</f>
        <v>0</v>
      </c>
      <c r="S20" t="s">
        <v>92</v>
      </c>
      <c r="T20" t="str">
        <f>"Open Concession TT With SLA "&amp;Data!AG6</f>
        <v>Open Concession TT With SLA 2 Hours</v>
      </c>
    </row>
    <row r="21" spans="1:20" ht="15.75" x14ac:dyDescent="0.25">
      <c r="A21" s="9" t="s">
        <v>28</v>
      </c>
      <c r="B21" s="9">
        <v>310</v>
      </c>
      <c r="C21" s="9">
        <v>353.4</v>
      </c>
      <c r="D21" s="9">
        <v>250</v>
      </c>
      <c r="E21" s="9">
        <v>410</v>
      </c>
      <c r="F21" s="13">
        <v>467.4</v>
      </c>
      <c r="G21" s="49">
        <v>5</v>
      </c>
      <c r="J21" s="18"/>
      <c r="K21" s="15"/>
      <c r="Q21" t="str">
        <f t="shared" si="0"/>
        <v>False</v>
      </c>
      <c r="R21" t="b">
        <f>IF(AND(Home!C8="Outage",Home!C12&lt;&gt;"",Data!W7&gt;=1,Home!C12&lt;&gt;"Major Fault-Outage-Maintenance",Home!M14=Data!AF2,Home!P21&lt;=Data!AF3),T21)</f>
        <v>0</v>
      </c>
      <c r="S21" s="66" t="s">
        <v>123</v>
      </c>
      <c r="T21" t="str">
        <f>"Compensate Customer On Spot With "&amp;TEXT(Home!P21,0)&amp;" "&amp;Home!P20&amp;CHAR(10)&amp;"+"&amp;CHAR(10)&amp;Home!M24</f>
        <v>Compensate Customer On Spot With 0 Gigabytes
+
0 Extra Gigabytes</v>
      </c>
    </row>
    <row r="22" spans="1:20" ht="15.75" x14ac:dyDescent="0.25">
      <c r="A22" s="9" t="s">
        <v>40</v>
      </c>
      <c r="B22" s="9">
        <v>684</v>
      </c>
      <c r="C22" s="9">
        <v>600</v>
      </c>
      <c r="D22" s="9">
        <v>600</v>
      </c>
      <c r="E22" s="9">
        <v>800</v>
      </c>
      <c r="F22" s="13">
        <v>912</v>
      </c>
      <c r="G22" s="49">
        <v>10</v>
      </c>
      <c r="J22" s="18"/>
      <c r="K22" s="15"/>
      <c r="Q22" t="str">
        <f t="shared" si="0"/>
        <v>False</v>
      </c>
      <c r="R22" t="b">
        <f>IF(AND(Home!C8="Outage",Home!C12&lt;&gt;"",Data!W7&gt;=1,Home!C12&lt;&gt;"Major Fault-Outage-Maintenance",Home!M14=Home!P20,AND(Home!P21&gt;Data!AF3,Home!P21&lt;=Data!AF4)),T22)</f>
        <v>0</v>
      </c>
      <c r="S22" s="66" t="s">
        <v>124</v>
      </c>
      <c r="T22" t="str">
        <f>"Send To TL With SLA "&amp;Data!AG4</f>
        <v>Send To TL With SLA 30 Minutes</v>
      </c>
    </row>
    <row r="23" spans="1:20" ht="15.75" x14ac:dyDescent="0.25">
      <c r="A23" s="9" t="s">
        <v>29</v>
      </c>
      <c r="B23" s="9">
        <v>220</v>
      </c>
      <c r="C23" s="9">
        <v>250.8</v>
      </c>
      <c r="D23" s="9">
        <v>140</v>
      </c>
      <c r="E23" s="9">
        <v>290</v>
      </c>
      <c r="F23" s="13">
        <v>330.6</v>
      </c>
      <c r="G23" s="49">
        <v>3</v>
      </c>
      <c r="J23" s="18"/>
      <c r="K23" s="15"/>
      <c r="Q23" t="str">
        <f t="shared" si="0"/>
        <v>False</v>
      </c>
      <c r="R23" t="b">
        <f>IF(AND(Home!C8="Outage",Data!W7&gt;=1,Home!C12&lt;&gt;"Major Fault-Outage-Maintenance",Home!M14=Home!P20,AND(Home!P21&gt;Data!AF4,Home!P21&lt;=Data!AF5)),T23)</f>
        <v>0</v>
      </c>
      <c r="S23" s="66" t="s">
        <v>125</v>
      </c>
      <c r="T23" t="str">
        <f>"Open Concession TT With SLA "&amp;Data!AG5</f>
        <v>Open Concession TT With SLA 1 Hour</v>
      </c>
    </row>
    <row r="24" spans="1:20" ht="15.75" x14ac:dyDescent="0.25">
      <c r="A24" s="9" t="s">
        <v>30</v>
      </c>
      <c r="B24" s="9">
        <v>310</v>
      </c>
      <c r="C24" s="9">
        <v>353.4</v>
      </c>
      <c r="D24" s="9">
        <v>250</v>
      </c>
      <c r="E24" s="9">
        <v>410</v>
      </c>
      <c r="F24" s="13">
        <v>467.4</v>
      </c>
      <c r="G24" s="49">
        <v>5</v>
      </c>
      <c r="J24" s="18"/>
      <c r="K24" s="15"/>
      <c r="Q24" t="str">
        <f t="shared" si="0"/>
        <v>False</v>
      </c>
      <c r="R24" t="b">
        <f>IF(AND(Home!C8="Outage",Home!C12&lt;&gt;"",Data!W7&gt;=1,Home!C12&lt;&gt;"Major Fault-Outage-Maintenance",Home!M14=Home!P20,Home!P21&gt;Data!AF5),T24)</f>
        <v>0</v>
      </c>
      <c r="S24" s="66" t="s">
        <v>126</v>
      </c>
      <c r="T24" t="str">
        <f>"Open Concession TT With SLA "&amp;Data!AG6</f>
        <v>Open Concession TT With SLA 2 Hours</v>
      </c>
    </row>
    <row r="25" spans="1:20" ht="15.75" x14ac:dyDescent="0.25">
      <c r="A25" s="9" t="s">
        <v>68</v>
      </c>
      <c r="B25" s="9">
        <v>600</v>
      </c>
      <c r="C25" s="9">
        <v>684</v>
      </c>
      <c r="D25" s="9">
        <v>600</v>
      </c>
      <c r="E25" s="9">
        <v>800</v>
      </c>
      <c r="F25" s="13">
        <v>912</v>
      </c>
      <c r="G25" s="49">
        <v>10</v>
      </c>
      <c r="J25" s="18"/>
      <c r="K25" s="15"/>
      <c r="Q25" t="str">
        <f t="shared" si="0"/>
        <v>False</v>
      </c>
      <c r="R25" t="b">
        <f>IF(AND(Home!C8="Outage",Home!C12&lt;&gt;"",Data!W7&gt;=1,Home!C12&lt;&gt;"Major Fault-Outage-Maintenance",Home!M14=Data!AE2,Home!M21&lt;=Data!AE3),T25)</f>
        <v>0</v>
      </c>
      <c r="S25" s="66" t="s">
        <v>127</v>
      </c>
      <c r="T25" t="str">
        <f>"Compensate Customer On Spot With "&amp;TEXT(Home!M21,"0.00")&amp;" EGP"&amp;CHAR(10)&amp;"+"&amp;CHAR(10)&amp;Home!M24</f>
        <v>Compensate Customer On Spot With  EGP
+
0 Extra Gigabytes</v>
      </c>
    </row>
    <row r="26" spans="1:20" ht="16.5" thickBot="1" x14ac:dyDescent="0.3">
      <c r="A26" s="9" t="s">
        <v>31</v>
      </c>
      <c r="B26" s="9">
        <v>320</v>
      </c>
      <c r="C26" s="9">
        <v>364.8</v>
      </c>
      <c r="D26" s="9">
        <v>140</v>
      </c>
      <c r="E26" s="9">
        <v>420</v>
      </c>
      <c r="F26" s="13">
        <v>478.8</v>
      </c>
      <c r="G26" s="49">
        <v>3</v>
      </c>
      <c r="J26" s="19"/>
      <c r="K26" s="17"/>
      <c r="Q26" t="str">
        <f t="shared" si="0"/>
        <v>False</v>
      </c>
      <c r="R26" t="b">
        <f>IF(AND(Home!C8="Outage",Data!W7&gt;=1,Home!C12&lt;&gt;"Major Fault-Outage-Maintenance",Home!M14=Home!M20,AND(Home!M21&gt;Data!AE3,Home!M21&lt;=Data!AE4)),T26)</f>
        <v>0</v>
      </c>
      <c r="S26" s="66" t="s">
        <v>128</v>
      </c>
      <c r="T26" t="str">
        <f>"Send To TL With SLA "&amp;Data!AG4</f>
        <v>Send To TL With SLA 30 Minutes</v>
      </c>
    </row>
    <row r="27" spans="1:20" x14ac:dyDescent="0.25">
      <c r="A27" s="9" t="s">
        <v>32</v>
      </c>
      <c r="B27" s="9">
        <v>410</v>
      </c>
      <c r="C27" s="9">
        <v>467.4</v>
      </c>
      <c r="D27" s="9">
        <v>250</v>
      </c>
      <c r="E27" s="9">
        <v>540</v>
      </c>
      <c r="F27" s="13">
        <v>615.6</v>
      </c>
      <c r="G27" s="49">
        <v>5</v>
      </c>
      <c r="Q27" t="str">
        <f t="shared" si="0"/>
        <v>False</v>
      </c>
      <c r="R27" t="b">
        <f>IF(AND(Home!C8="Outage",Home!C12&lt;&gt;"",Data!W7&gt;=1,Home!C12&lt;&gt;"Major Fault-Outage-Maintenance",Home!M14=Home!M20,AND(Home!M21&gt;Data!AE4,Home!M21&lt;=Data!AE5)),T27)</f>
        <v>0</v>
      </c>
      <c r="S27" s="66" t="s">
        <v>129</v>
      </c>
      <c r="T27" t="str">
        <f>"Open Concession TT With SLA "&amp;Data!AG5</f>
        <v>Open Concession TT With SLA 1 Hour</v>
      </c>
    </row>
    <row r="28" spans="1:20" x14ac:dyDescent="0.25">
      <c r="A28" s="9" t="s">
        <v>33</v>
      </c>
      <c r="B28" s="9">
        <v>700</v>
      </c>
      <c r="C28" s="9">
        <v>798</v>
      </c>
      <c r="D28" s="9">
        <v>600</v>
      </c>
      <c r="E28" s="9">
        <v>950</v>
      </c>
      <c r="F28" s="13">
        <v>1083</v>
      </c>
      <c r="G28" s="49">
        <v>10</v>
      </c>
      <c r="Q28" t="str">
        <f t="shared" si="0"/>
        <v>False</v>
      </c>
      <c r="R28" t="b">
        <f>IF(AND(Home!C8="Outage",Data!W7&gt;=1,Home!C12&lt;&gt;"Major Fault-Outage-Maintenance",Home!M14=Home!M20,Home!M21&gt;Data!AE5),T28)</f>
        <v>0</v>
      </c>
      <c r="S28" s="66" t="s">
        <v>130</v>
      </c>
      <c r="T28" t="str">
        <f>"Open Concession TT With SLA "&amp;Data!AG6</f>
        <v>Open Concession TT With SLA 2 Hours</v>
      </c>
    </row>
    <row r="29" spans="1:20" x14ac:dyDescent="0.25">
      <c r="A29" s="9" t="s">
        <v>34</v>
      </c>
      <c r="B29" s="9">
        <v>320</v>
      </c>
      <c r="C29" s="9">
        <v>364.8</v>
      </c>
      <c r="D29" s="9">
        <v>140</v>
      </c>
      <c r="E29" s="9">
        <v>420</v>
      </c>
      <c r="F29" s="13">
        <v>478.8</v>
      </c>
      <c r="G29" s="49">
        <v>3</v>
      </c>
      <c r="Q29" t="str">
        <f t="shared" si="0"/>
        <v>False</v>
      </c>
      <c r="R29" t="b">
        <f>IF(AND(Home!C8="Outage",Home!C12&lt;&gt;"",Data!W7&lt;0.5,Data!W7&gt;=0.25),T29)</f>
        <v>0</v>
      </c>
      <c r="S29" s="66" t="s">
        <v>145</v>
      </c>
      <c r="T29" t="str">
        <f>"Compensate Customer On Spot With "&amp;Home!P21&amp;" Gigabytes"</f>
        <v>Compensate Customer On Spot With 0 Gigabytes</v>
      </c>
    </row>
    <row r="30" spans="1:20" x14ac:dyDescent="0.25">
      <c r="A30" s="9" t="s">
        <v>35</v>
      </c>
      <c r="B30" s="9">
        <v>410</v>
      </c>
      <c r="C30" s="9">
        <v>467.4</v>
      </c>
      <c r="D30" s="9">
        <v>250</v>
      </c>
      <c r="E30" s="9">
        <v>540</v>
      </c>
      <c r="F30" s="13">
        <v>615.6</v>
      </c>
      <c r="G30" s="49">
        <v>5</v>
      </c>
    </row>
    <row r="31" spans="1:20" x14ac:dyDescent="0.25">
      <c r="A31" s="9" t="s">
        <v>36</v>
      </c>
      <c r="B31" s="9">
        <v>700</v>
      </c>
      <c r="C31" s="9">
        <v>798</v>
      </c>
      <c r="D31" s="9">
        <v>600</v>
      </c>
      <c r="E31" s="9">
        <v>950</v>
      </c>
      <c r="F31" s="13">
        <v>1083</v>
      </c>
      <c r="G31" s="49">
        <v>10</v>
      </c>
    </row>
    <row r="32" spans="1:20" x14ac:dyDescent="0.25">
      <c r="A32" s="9" t="s">
        <v>39</v>
      </c>
      <c r="B32" s="9">
        <v>1000</v>
      </c>
      <c r="C32" s="9">
        <v>1140</v>
      </c>
      <c r="D32" s="9">
        <v>1024</v>
      </c>
      <c r="E32" s="9">
        <v>1350</v>
      </c>
      <c r="F32" s="13">
        <v>1539</v>
      </c>
      <c r="G32" s="49">
        <v>10</v>
      </c>
    </row>
    <row r="33" spans="1:7" x14ac:dyDescent="0.25">
      <c r="A33" s="9" t="s">
        <v>69</v>
      </c>
      <c r="B33" s="9">
        <v>900</v>
      </c>
      <c r="C33" s="9">
        <v>1026</v>
      </c>
      <c r="D33" s="9">
        <v>1000</v>
      </c>
      <c r="E33" s="9">
        <v>1200</v>
      </c>
      <c r="F33" s="13">
        <v>1368</v>
      </c>
      <c r="G33" s="49">
        <v>10</v>
      </c>
    </row>
    <row r="34" spans="1:7" ht="15.75" thickBot="1" x14ac:dyDescent="0.3">
      <c r="A34" s="10" t="s">
        <v>119</v>
      </c>
      <c r="B34" s="10">
        <v>800</v>
      </c>
      <c r="C34" s="10">
        <v>912</v>
      </c>
      <c r="D34" s="10">
        <v>1000</v>
      </c>
      <c r="E34" s="10">
        <v>1050</v>
      </c>
      <c r="F34" s="14">
        <v>1197</v>
      </c>
      <c r="G34" s="49">
        <v>10</v>
      </c>
    </row>
    <row r="35" spans="1:7" ht="15.75" thickBot="1" x14ac:dyDescent="0.3">
      <c r="A35" s="67" t="s">
        <v>141</v>
      </c>
      <c r="B35" s="67" t="s">
        <v>140</v>
      </c>
      <c r="C35" s="67" t="s">
        <v>140</v>
      </c>
      <c r="D35" s="67">
        <v>30</v>
      </c>
      <c r="E35" s="67">
        <v>75</v>
      </c>
      <c r="F35" s="67">
        <v>85.5</v>
      </c>
      <c r="G35" s="49">
        <v>0</v>
      </c>
    </row>
    <row r="36" spans="1:7" ht="15.75" thickBot="1" x14ac:dyDescent="0.3">
      <c r="A36" s="67" t="s">
        <v>142</v>
      </c>
      <c r="B36" s="67" t="s">
        <v>140</v>
      </c>
      <c r="C36" s="67" t="s">
        <v>140</v>
      </c>
      <c r="D36" s="67">
        <v>140</v>
      </c>
      <c r="E36" s="67">
        <v>115</v>
      </c>
      <c r="F36" s="67">
        <v>131.1</v>
      </c>
      <c r="G36" s="49">
        <v>3</v>
      </c>
    </row>
    <row r="37" spans="1:7" ht="15.75" thickBot="1" x14ac:dyDescent="0.3">
      <c r="A37" s="67" t="s">
        <v>143</v>
      </c>
      <c r="B37" s="67" t="s">
        <v>140</v>
      </c>
      <c r="C37" s="67" t="s">
        <v>140</v>
      </c>
      <c r="D37" s="67">
        <v>250</v>
      </c>
      <c r="E37" s="67">
        <v>205</v>
      </c>
      <c r="F37" s="67">
        <v>233.7</v>
      </c>
      <c r="G37" s="49">
        <v>5</v>
      </c>
    </row>
    <row r="38" spans="1:7" ht="15.75" thickBot="1" x14ac:dyDescent="0.3">
      <c r="A38" s="70" t="s">
        <v>146</v>
      </c>
      <c r="B38" s="71">
        <v>450</v>
      </c>
      <c r="C38" s="71">
        <v>513</v>
      </c>
      <c r="D38" s="71">
        <v>500</v>
      </c>
      <c r="E38" s="71">
        <v>450</v>
      </c>
      <c r="F38" s="71">
        <v>513</v>
      </c>
      <c r="G38" s="49">
        <v>10</v>
      </c>
    </row>
    <row r="39" spans="1:7" ht="15.75" thickBot="1" x14ac:dyDescent="0.3">
      <c r="A39" s="70" t="s">
        <v>147</v>
      </c>
      <c r="B39" s="71">
        <v>450</v>
      </c>
      <c r="C39" s="71">
        <v>513</v>
      </c>
      <c r="D39" s="71">
        <v>500</v>
      </c>
      <c r="E39" s="71">
        <v>450</v>
      </c>
      <c r="F39" s="71">
        <v>513</v>
      </c>
      <c r="G39" s="49">
        <v>10</v>
      </c>
    </row>
    <row r="40" spans="1:7" ht="15.75" thickBot="1" x14ac:dyDescent="0.3">
      <c r="A40" s="70" t="s">
        <v>148</v>
      </c>
      <c r="B40" s="71">
        <v>950</v>
      </c>
      <c r="C40" s="71">
        <v>1083</v>
      </c>
      <c r="D40" s="71">
        <v>1500</v>
      </c>
      <c r="E40" s="71">
        <v>950</v>
      </c>
      <c r="F40" s="71">
        <v>1083</v>
      </c>
      <c r="G40" s="49">
        <v>10</v>
      </c>
    </row>
    <row r="41" spans="1:7" ht="17.25" thickBot="1" x14ac:dyDescent="0.3">
      <c r="A41" s="72" t="s">
        <v>149</v>
      </c>
      <c r="B41" s="71">
        <v>180</v>
      </c>
      <c r="C41" s="71">
        <v>205</v>
      </c>
      <c r="D41" s="71">
        <v>200</v>
      </c>
      <c r="E41" s="71">
        <v>180</v>
      </c>
      <c r="F41" s="71">
        <v>205</v>
      </c>
      <c r="G41" s="71">
        <v>10</v>
      </c>
    </row>
    <row r="42" spans="1:7" ht="17.25" thickBot="1" x14ac:dyDescent="0.3">
      <c r="A42" s="72" t="s">
        <v>150</v>
      </c>
      <c r="B42" s="71">
        <v>205</v>
      </c>
      <c r="C42" s="71">
        <v>233.7</v>
      </c>
      <c r="D42" s="71">
        <v>250</v>
      </c>
      <c r="E42" s="71">
        <v>205</v>
      </c>
      <c r="F42" s="71">
        <v>233.7</v>
      </c>
      <c r="G42" s="71">
        <v>10</v>
      </c>
    </row>
    <row r="43" spans="1:7" ht="17.25" thickBot="1" x14ac:dyDescent="0.3">
      <c r="A43" s="72" t="s">
        <v>151</v>
      </c>
      <c r="B43" s="71">
        <v>305</v>
      </c>
      <c r="C43" s="71">
        <v>399</v>
      </c>
      <c r="D43" s="71">
        <v>400</v>
      </c>
      <c r="E43" s="71">
        <v>305</v>
      </c>
      <c r="F43" s="71">
        <v>399</v>
      </c>
      <c r="G43" s="71">
        <v>10</v>
      </c>
    </row>
    <row r="44" spans="1:7" ht="17.25" thickBot="1" x14ac:dyDescent="0.3">
      <c r="A44" s="72" t="s">
        <v>152</v>
      </c>
      <c r="B44" s="71">
        <v>415</v>
      </c>
      <c r="C44" s="71">
        <v>473.1</v>
      </c>
      <c r="D44" s="71">
        <v>600</v>
      </c>
      <c r="E44" s="71">
        <v>415</v>
      </c>
      <c r="F44" s="71">
        <v>473.1</v>
      </c>
      <c r="G44" s="71">
        <v>10</v>
      </c>
    </row>
    <row r="45" spans="1:7" ht="17.25" thickBot="1" x14ac:dyDescent="0.3">
      <c r="A45" s="72" t="s">
        <v>153</v>
      </c>
      <c r="B45" s="71">
        <v>525</v>
      </c>
      <c r="C45" s="71">
        <v>598.5</v>
      </c>
      <c r="D45" s="71">
        <v>800</v>
      </c>
      <c r="E45" s="71">
        <v>525</v>
      </c>
      <c r="F45" s="71">
        <v>598.5</v>
      </c>
      <c r="G45" s="71">
        <v>10</v>
      </c>
    </row>
    <row r="46" spans="1:7" x14ac:dyDescent="0.25">
      <c r="B46" s="9"/>
      <c r="C46" s="9"/>
      <c r="D46" s="9"/>
    </row>
    <row r="47" spans="1:7" x14ac:dyDescent="0.25">
      <c r="B47" s="9"/>
      <c r="C47" s="9"/>
      <c r="D47" s="9"/>
    </row>
    <row r="48" spans="1:7" x14ac:dyDescent="0.25">
      <c r="B48" s="9"/>
      <c r="C48" s="9"/>
      <c r="D48" s="9"/>
    </row>
    <row r="49" spans="2:4" x14ac:dyDescent="0.25">
      <c r="B49" s="9"/>
      <c r="C49" s="9"/>
      <c r="D49" s="9"/>
    </row>
    <row r="50" spans="2:4" x14ac:dyDescent="0.25">
      <c r="B50" s="9"/>
      <c r="C50" s="9"/>
      <c r="D50" s="9"/>
    </row>
    <row r="51" spans="2:4" x14ac:dyDescent="0.25">
      <c r="B51" s="9"/>
      <c r="C51" s="9"/>
      <c r="D51" s="9"/>
    </row>
    <row r="52" spans="2:4" x14ac:dyDescent="0.25">
      <c r="B52" s="9"/>
      <c r="C52" s="9"/>
      <c r="D52" s="9"/>
    </row>
    <row r="53" spans="2:4" x14ac:dyDescent="0.25">
      <c r="B53" s="9"/>
      <c r="C53" s="9"/>
      <c r="D53" s="9"/>
    </row>
    <row r="54" spans="2:4" x14ac:dyDescent="0.25">
      <c r="B54" s="9"/>
      <c r="C54" s="9"/>
      <c r="D54" s="9"/>
    </row>
    <row r="55" spans="2:4" x14ac:dyDescent="0.25">
      <c r="B55" s="9"/>
      <c r="C55" s="9"/>
      <c r="D55" s="9"/>
    </row>
    <row r="56" spans="2:4" x14ac:dyDescent="0.25">
      <c r="B56" s="9"/>
      <c r="C56" s="9"/>
      <c r="D56" s="9"/>
    </row>
    <row r="57" spans="2:4" x14ac:dyDescent="0.25">
      <c r="B57" s="9"/>
      <c r="C57" s="9"/>
      <c r="D57" s="9"/>
    </row>
    <row r="58" spans="2:4" x14ac:dyDescent="0.25">
      <c r="B58" s="9"/>
      <c r="C58" s="9"/>
      <c r="D58" s="9"/>
    </row>
    <row r="59" spans="2:4" x14ac:dyDescent="0.25">
      <c r="B59" s="9"/>
      <c r="C59" s="9"/>
      <c r="D59" s="9"/>
    </row>
    <row r="60" spans="2:4" x14ac:dyDescent="0.25">
      <c r="B60" s="9"/>
      <c r="C60" s="9"/>
      <c r="D60" s="9"/>
    </row>
    <row r="61" spans="2:4" x14ac:dyDescent="0.25">
      <c r="B61" s="9"/>
      <c r="C61" s="9"/>
      <c r="D61" s="9"/>
    </row>
    <row r="62" spans="2:4" x14ac:dyDescent="0.25">
      <c r="B62" s="9"/>
      <c r="C62" s="9"/>
      <c r="D62" s="9"/>
    </row>
    <row r="63" spans="2:4" x14ac:dyDescent="0.25">
      <c r="B63" s="9"/>
      <c r="C63" s="9"/>
      <c r="D63" s="9"/>
    </row>
    <row r="64" spans="2:4" x14ac:dyDescent="0.25">
      <c r="B64" s="9"/>
      <c r="C64" s="9"/>
      <c r="D64" s="9"/>
    </row>
    <row r="65" spans="2:4" x14ac:dyDescent="0.25">
      <c r="B65" s="9"/>
      <c r="C65" s="9"/>
      <c r="D65" s="9"/>
    </row>
    <row r="66" spans="2:4" x14ac:dyDescent="0.25">
      <c r="B66" s="9"/>
      <c r="C66" s="9"/>
      <c r="D66" s="9"/>
    </row>
    <row r="67" spans="2:4" x14ac:dyDescent="0.25">
      <c r="B67" s="9"/>
      <c r="C67" s="9"/>
      <c r="D67" s="9"/>
    </row>
    <row r="68" spans="2:4" x14ac:dyDescent="0.25">
      <c r="B68" s="9"/>
      <c r="C68" s="9"/>
      <c r="D68" s="9"/>
    </row>
    <row r="69" spans="2:4" x14ac:dyDescent="0.25">
      <c r="B69" s="9"/>
      <c r="C69" s="9"/>
      <c r="D69" s="9"/>
    </row>
    <row r="70" spans="2:4" x14ac:dyDescent="0.25">
      <c r="B70" s="9"/>
      <c r="C70" s="9"/>
      <c r="D70" s="9"/>
    </row>
    <row r="71" spans="2:4" x14ac:dyDescent="0.25">
      <c r="B71" s="9"/>
      <c r="C71" s="9"/>
      <c r="D71" s="9"/>
    </row>
    <row r="72" spans="2:4" x14ac:dyDescent="0.25">
      <c r="B72" s="9"/>
      <c r="C72" s="9"/>
      <c r="D72" s="9"/>
    </row>
    <row r="73" spans="2:4" x14ac:dyDescent="0.25">
      <c r="B73" s="9"/>
      <c r="C73" s="9"/>
      <c r="D73" s="9"/>
    </row>
    <row r="74" spans="2:4" x14ac:dyDescent="0.25">
      <c r="B74" s="9"/>
      <c r="C74" s="9"/>
      <c r="D74" s="9"/>
    </row>
    <row r="75" spans="2:4" x14ac:dyDescent="0.25">
      <c r="B75" s="9"/>
      <c r="C75" s="9"/>
      <c r="D75" s="9"/>
    </row>
    <row r="76" spans="2:4" x14ac:dyDescent="0.25">
      <c r="B76" s="9"/>
      <c r="C76" s="9"/>
      <c r="D76" s="9"/>
    </row>
  </sheetData>
  <autoFilter ref="A1:G34" xr:uid="{B11F2524-B7F0-48E3-A79F-A9D78AA1D6ED}"/>
  <mergeCells count="3">
    <mergeCell ref="AG1:AG2"/>
    <mergeCell ref="AD1:AD2"/>
    <mergeCell ref="AE1:AF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5829654-448e-4ff7-8b36-5ac4e15df462">VTXZXACUT7HZ-1850682920-22047</_dlc_DocId>
    <_dlc_DocIdUrl xmlns="c5829654-448e-4ff7-8b36-5ac4e15df462">
      <Url>https://wiki/_layouts/15/DocIdRedir.aspx?ID=VTXZXACUT7HZ-1850682920-22047</Url>
      <Description>VTXZXACUT7HZ-1850682920-22047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35AB387246FF24F800EF8C7401FD121" ma:contentTypeVersion="1" ma:contentTypeDescription="Create a new document." ma:contentTypeScope="" ma:versionID="ba3d529d62c597f2ab6028e8b567edb0">
  <xsd:schema xmlns:xsd="http://www.w3.org/2001/XMLSchema" xmlns:xs="http://www.w3.org/2001/XMLSchema" xmlns:p="http://schemas.microsoft.com/office/2006/metadata/properties" xmlns:ns2="c5829654-448e-4ff7-8b36-5ac4e15df462" targetNamespace="http://schemas.microsoft.com/office/2006/metadata/properties" ma:root="true" ma:fieldsID="39d7a5a515a84d11333450e37a88365e" ns2:_="">
    <xsd:import namespace="c5829654-448e-4ff7-8b36-5ac4e15df46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829654-448e-4ff7-8b36-5ac4e15df462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ABDD8E-76B8-4607-BB43-6287D7EE8DF1}">
  <ds:schemaRefs>
    <ds:schemaRef ds:uri="http://schemas.microsoft.com/office/2006/metadata/properties"/>
    <ds:schemaRef ds:uri="http://schemas.microsoft.com/office/infopath/2007/PartnerControls"/>
    <ds:schemaRef ds:uri="c5829654-448e-4ff7-8b36-5ac4e15df462"/>
  </ds:schemaRefs>
</ds:datastoreItem>
</file>

<file path=customXml/itemProps2.xml><?xml version="1.0" encoding="utf-8"?>
<ds:datastoreItem xmlns:ds="http://schemas.openxmlformats.org/officeDocument/2006/customXml" ds:itemID="{94687D73-C99A-40ED-AF33-71DE69AC9A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5829654-448e-4ff7-8b36-5ac4e15df4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A42772C-8E6A-4E1A-B00C-DB21F97C8DBA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C7CA98E-17D5-478C-9AC7-709426D29C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Home</vt:lpstr>
      <vt:lpstr>Logics</vt:lpstr>
      <vt:lpstr>Month_Plan</vt:lpstr>
      <vt:lpstr>Outage</vt:lpstr>
      <vt:lpstr>Solving</vt:lpstr>
      <vt:lpstr>Year_Plan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Ibraheim AbdElMoungey AbdElShafey ElDakrorey</dc:creator>
  <cp:lastModifiedBy>Alaa Ali Mohamed Ali</cp:lastModifiedBy>
  <dcterms:created xsi:type="dcterms:W3CDTF">2015-06-05T18:17:20Z</dcterms:created>
  <dcterms:modified xsi:type="dcterms:W3CDTF">2024-11-02T17:47:32Z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0x010100A35AB387246FF24F800EF8C7401FD121</vt:lpwstr>
  </property>
  <property fmtid="{D5CDD505-2E9C-101B-9397-08002B2CF9AE}" pid="3" name="_dlc_DocIdItemGuid">
    <vt:lpwstr>6ca4bbdc-9b8b-4154-84e0-cf5c2c9f5825</vt:lpwstr>
  </property>
</Properties>
</file>